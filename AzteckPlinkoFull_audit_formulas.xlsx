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y100_expert_10" sheetId="2" state="visible" r:id="rId2"/>
    <sheet xmlns:r="http://schemas.openxmlformats.org/officeDocument/2006/relationships" name="buy100_expert_11" sheetId="3" state="visible" r:id="rId3"/>
    <sheet xmlns:r="http://schemas.openxmlformats.org/officeDocument/2006/relationships" name="buy100_expert_12" sheetId="4" state="visible" r:id="rId4"/>
    <sheet xmlns:r="http://schemas.openxmlformats.org/officeDocument/2006/relationships" name="buy100_expert_13" sheetId="5" state="visible" r:id="rId5"/>
    <sheet xmlns:r="http://schemas.openxmlformats.org/officeDocument/2006/relationships" name="buy100_expert_14" sheetId="6" state="visible" r:id="rId6"/>
    <sheet xmlns:r="http://schemas.openxmlformats.org/officeDocument/2006/relationships" name="buy100_expert_15" sheetId="7" state="visible" r:id="rId7"/>
    <sheet xmlns:r="http://schemas.openxmlformats.org/officeDocument/2006/relationships" name="buy100_expert_16" sheetId="8" state="visible" r:id="rId8"/>
    <sheet xmlns:r="http://schemas.openxmlformats.org/officeDocument/2006/relationships" name="buy100_expert_8" sheetId="9" state="visible" r:id="rId9"/>
    <sheet xmlns:r="http://schemas.openxmlformats.org/officeDocument/2006/relationships" name="buy100_expert_9" sheetId="10" state="visible" r:id="rId10"/>
    <sheet xmlns:r="http://schemas.openxmlformats.org/officeDocument/2006/relationships" name="buy100_high_10" sheetId="11" state="visible" r:id="rId11"/>
    <sheet xmlns:r="http://schemas.openxmlformats.org/officeDocument/2006/relationships" name="buy100_high_11" sheetId="12" state="visible" r:id="rId12"/>
    <sheet xmlns:r="http://schemas.openxmlformats.org/officeDocument/2006/relationships" name="buy100_high_12" sheetId="13" state="visible" r:id="rId13"/>
    <sheet xmlns:r="http://schemas.openxmlformats.org/officeDocument/2006/relationships" name="buy100_high_13" sheetId="14" state="visible" r:id="rId14"/>
    <sheet xmlns:r="http://schemas.openxmlformats.org/officeDocument/2006/relationships" name="buy100_high_14" sheetId="15" state="visible" r:id="rId15"/>
    <sheet xmlns:r="http://schemas.openxmlformats.org/officeDocument/2006/relationships" name="buy100_high_15" sheetId="16" state="visible" r:id="rId16"/>
    <sheet xmlns:r="http://schemas.openxmlformats.org/officeDocument/2006/relationships" name="buy100_high_16" sheetId="17" state="visible" r:id="rId17"/>
    <sheet xmlns:r="http://schemas.openxmlformats.org/officeDocument/2006/relationships" name="buy100_high_8" sheetId="18" state="visible" r:id="rId18"/>
    <sheet xmlns:r="http://schemas.openxmlformats.org/officeDocument/2006/relationships" name="buy100_high_9" sheetId="19" state="visible" r:id="rId19"/>
    <sheet xmlns:r="http://schemas.openxmlformats.org/officeDocument/2006/relationships" name="buy100_low_10" sheetId="20" state="visible" r:id="rId20"/>
    <sheet xmlns:r="http://schemas.openxmlformats.org/officeDocument/2006/relationships" name="buy100_low_11" sheetId="21" state="visible" r:id="rId21"/>
    <sheet xmlns:r="http://schemas.openxmlformats.org/officeDocument/2006/relationships" name="buy100_low_12" sheetId="22" state="visible" r:id="rId22"/>
    <sheet xmlns:r="http://schemas.openxmlformats.org/officeDocument/2006/relationships" name="buy100_low_13" sheetId="23" state="visible" r:id="rId23"/>
    <sheet xmlns:r="http://schemas.openxmlformats.org/officeDocument/2006/relationships" name="buy100_low_14" sheetId="24" state="visible" r:id="rId24"/>
    <sheet xmlns:r="http://schemas.openxmlformats.org/officeDocument/2006/relationships" name="buy100_low_15" sheetId="25" state="visible" r:id="rId25"/>
    <sheet xmlns:r="http://schemas.openxmlformats.org/officeDocument/2006/relationships" name="buy100_low_16" sheetId="26" state="visible" r:id="rId26"/>
    <sheet xmlns:r="http://schemas.openxmlformats.org/officeDocument/2006/relationships" name="buy100_low_8" sheetId="27" state="visible" r:id="rId27"/>
    <sheet xmlns:r="http://schemas.openxmlformats.org/officeDocument/2006/relationships" name="buy100_low_9" sheetId="28" state="visible" r:id="rId28"/>
    <sheet xmlns:r="http://schemas.openxmlformats.org/officeDocument/2006/relationships" name="buy100_medium_10" sheetId="29" state="visible" r:id="rId29"/>
    <sheet xmlns:r="http://schemas.openxmlformats.org/officeDocument/2006/relationships" name="buy100_medium_11" sheetId="30" state="visible" r:id="rId30"/>
    <sheet xmlns:r="http://schemas.openxmlformats.org/officeDocument/2006/relationships" name="buy100_medium_12" sheetId="31" state="visible" r:id="rId31"/>
    <sheet xmlns:r="http://schemas.openxmlformats.org/officeDocument/2006/relationships" name="buy100_medium_13" sheetId="32" state="visible" r:id="rId32"/>
    <sheet xmlns:r="http://schemas.openxmlformats.org/officeDocument/2006/relationships" name="buy100_medium_14" sheetId="33" state="visible" r:id="rId33"/>
    <sheet xmlns:r="http://schemas.openxmlformats.org/officeDocument/2006/relationships" name="buy100_medium_15" sheetId="34" state="visible" r:id="rId34"/>
    <sheet xmlns:r="http://schemas.openxmlformats.org/officeDocument/2006/relationships" name="buy100_medium_16" sheetId="35" state="visible" r:id="rId35"/>
    <sheet xmlns:r="http://schemas.openxmlformats.org/officeDocument/2006/relationships" name="buy100_medium_8" sheetId="36" state="visible" r:id="rId36"/>
    <sheet xmlns:r="http://schemas.openxmlformats.org/officeDocument/2006/relationships" name="buy100_medium_9" sheetId="37" state="visible" r:id="rId37"/>
    <sheet xmlns:r="http://schemas.openxmlformats.org/officeDocument/2006/relationships" name="normal_expert_10" sheetId="38" state="visible" r:id="rId38"/>
    <sheet xmlns:r="http://schemas.openxmlformats.org/officeDocument/2006/relationships" name="normal_expert_11" sheetId="39" state="visible" r:id="rId39"/>
    <sheet xmlns:r="http://schemas.openxmlformats.org/officeDocument/2006/relationships" name="normal_expert_12" sheetId="40" state="visible" r:id="rId40"/>
    <sheet xmlns:r="http://schemas.openxmlformats.org/officeDocument/2006/relationships" name="normal_expert_13" sheetId="41" state="visible" r:id="rId41"/>
    <sheet xmlns:r="http://schemas.openxmlformats.org/officeDocument/2006/relationships" name="normal_expert_14" sheetId="42" state="visible" r:id="rId42"/>
    <sheet xmlns:r="http://schemas.openxmlformats.org/officeDocument/2006/relationships" name="normal_expert_15" sheetId="43" state="visible" r:id="rId43"/>
    <sheet xmlns:r="http://schemas.openxmlformats.org/officeDocument/2006/relationships" name="normal_expert_16" sheetId="44" state="visible" r:id="rId44"/>
    <sheet xmlns:r="http://schemas.openxmlformats.org/officeDocument/2006/relationships" name="normal_expert_8" sheetId="45" state="visible" r:id="rId45"/>
    <sheet xmlns:r="http://schemas.openxmlformats.org/officeDocument/2006/relationships" name="normal_expert_9" sheetId="46" state="visible" r:id="rId46"/>
    <sheet xmlns:r="http://schemas.openxmlformats.org/officeDocument/2006/relationships" name="normal_high_10" sheetId="47" state="visible" r:id="rId47"/>
    <sheet xmlns:r="http://schemas.openxmlformats.org/officeDocument/2006/relationships" name="normal_high_11" sheetId="48" state="visible" r:id="rId48"/>
    <sheet xmlns:r="http://schemas.openxmlformats.org/officeDocument/2006/relationships" name="normal_high_12" sheetId="49" state="visible" r:id="rId49"/>
    <sheet xmlns:r="http://schemas.openxmlformats.org/officeDocument/2006/relationships" name="normal_high_13" sheetId="50" state="visible" r:id="rId50"/>
    <sheet xmlns:r="http://schemas.openxmlformats.org/officeDocument/2006/relationships" name="normal_high_14" sheetId="51" state="visible" r:id="rId51"/>
    <sheet xmlns:r="http://schemas.openxmlformats.org/officeDocument/2006/relationships" name="normal_high_15" sheetId="52" state="visible" r:id="rId52"/>
    <sheet xmlns:r="http://schemas.openxmlformats.org/officeDocument/2006/relationships" name="normal_high_16" sheetId="53" state="visible" r:id="rId53"/>
    <sheet xmlns:r="http://schemas.openxmlformats.org/officeDocument/2006/relationships" name="normal_high_8" sheetId="54" state="visible" r:id="rId54"/>
    <sheet xmlns:r="http://schemas.openxmlformats.org/officeDocument/2006/relationships" name="normal_high_9" sheetId="55" state="visible" r:id="rId55"/>
    <sheet xmlns:r="http://schemas.openxmlformats.org/officeDocument/2006/relationships" name="normal_low_10" sheetId="56" state="visible" r:id="rId56"/>
    <sheet xmlns:r="http://schemas.openxmlformats.org/officeDocument/2006/relationships" name="normal_low_11" sheetId="57" state="visible" r:id="rId57"/>
    <sheet xmlns:r="http://schemas.openxmlformats.org/officeDocument/2006/relationships" name="normal_low_12" sheetId="58" state="visible" r:id="rId58"/>
    <sheet xmlns:r="http://schemas.openxmlformats.org/officeDocument/2006/relationships" name="normal_low_13" sheetId="59" state="visible" r:id="rId59"/>
    <sheet xmlns:r="http://schemas.openxmlformats.org/officeDocument/2006/relationships" name="normal_low_14" sheetId="60" state="visible" r:id="rId60"/>
    <sheet xmlns:r="http://schemas.openxmlformats.org/officeDocument/2006/relationships" name="normal_low_15" sheetId="61" state="visible" r:id="rId61"/>
    <sheet xmlns:r="http://schemas.openxmlformats.org/officeDocument/2006/relationships" name="normal_low_16" sheetId="62" state="visible" r:id="rId62"/>
    <sheet xmlns:r="http://schemas.openxmlformats.org/officeDocument/2006/relationships" name="normal_low_8" sheetId="63" state="visible" r:id="rId63"/>
    <sheet xmlns:r="http://schemas.openxmlformats.org/officeDocument/2006/relationships" name="normal_low_9" sheetId="64" state="visible" r:id="rId64"/>
    <sheet xmlns:r="http://schemas.openxmlformats.org/officeDocument/2006/relationships" name="normal_medium_10" sheetId="65" state="visible" r:id="rId65"/>
    <sheet xmlns:r="http://schemas.openxmlformats.org/officeDocument/2006/relationships" name="normal_medium_11" sheetId="66" state="visible" r:id="rId66"/>
    <sheet xmlns:r="http://schemas.openxmlformats.org/officeDocument/2006/relationships" name="normal_medium_12" sheetId="67" state="visible" r:id="rId67"/>
    <sheet xmlns:r="http://schemas.openxmlformats.org/officeDocument/2006/relationships" name="normal_medium_13" sheetId="68" state="visible" r:id="rId68"/>
    <sheet xmlns:r="http://schemas.openxmlformats.org/officeDocument/2006/relationships" name="normal_medium_14" sheetId="69" state="visible" r:id="rId69"/>
    <sheet xmlns:r="http://schemas.openxmlformats.org/officeDocument/2006/relationships" name="normal_medium_15" sheetId="70" state="visible" r:id="rId70"/>
    <sheet xmlns:r="http://schemas.openxmlformats.org/officeDocument/2006/relationships" name="normal_medium_16" sheetId="71" state="visible" r:id="rId71"/>
    <sheet xmlns:r="http://schemas.openxmlformats.org/officeDocument/2006/relationships" name="normal_medium_8" sheetId="72" state="visible" r:id="rId72"/>
    <sheet xmlns:r="http://schemas.openxmlformats.org/officeDocument/2006/relationships" name="normal_medium_9" sheetId="73" state="visible" r:id="rId73"/>
    <sheet xmlns:r="http://schemas.openxmlformats.org/officeDocument/2006/relationships" name="TestVectors" sheetId="74" state="visible" r:id="rId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B4C6E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12" customWidth="1" min="5" max="5"/>
    <col width="16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20" customWidth="1" min="18" max="18"/>
    <col width="14" customWidth="1" min="19" max="19"/>
  </cols>
  <sheetData>
    <row r="1">
      <c r="A1" s="1" t="inlineStr">
        <is>
          <t>AzteckPlinkoFull Workbook</t>
        </is>
      </c>
    </row>
    <row r="2">
      <c r="A2" s="2" t="inlineStr">
        <is>
          <t>Generated from F:\Gaming\Stakes\math-sdk\games\azteck_plinko_final</t>
        </is>
      </c>
    </row>
    <row r="4">
      <c r="A4" s="3" t="inlineStr">
        <is>
          <t>Package</t>
        </is>
      </c>
    </row>
    <row r="5">
      <c r="A5" s="4" t="inlineStr">
        <is>
          <t>Key</t>
        </is>
      </c>
      <c r="B5" s="4" t="inlineStr">
        <is>
          <t>Value</t>
        </is>
      </c>
    </row>
    <row r="6">
      <c r="A6" s="5" t="inlineStr">
        <is>
          <t>Root</t>
        </is>
      </c>
      <c r="B6" s="5" t="inlineStr">
        <is>
          <t>F:\Gaming\Stakes\math-sdk\games\azteck_plinko_final</t>
        </is>
      </c>
    </row>
    <row r="7">
      <c r="A7" s="5" t="inlineStr">
        <is>
          <t>Index</t>
        </is>
      </c>
      <c r="B7" s="5" t="inlineStr">
        <is>
          <t>F:\Gaming\Stakes\math-sdk\games\azteck_plinko_final\artifacts\publish_files\index.json</t>
        </is>
      </c>
    </row>
    <row r="8">
      <c r="A8" s="5" t="inlineStr">
        <is>
          <t>Lookup files</t>
        </is>
      </c>
      <c r="B8" s="5" t="n">
        <v>72</v>
      </c>
    </row>
    <row r="9">
      <c r="A9" s="5" t="inlineStr">
        <is>
          <t>Docs dir exists</t>
        </is>
      </c>
      <c r="B9" s="5" t="b">
        <v>1</v>
      </c>
    </row>
    <row r="10">
      <c r="A10" s="5" t="inlineStr">
        <is>
          <t>RTP tolerance</t>
        </is>
      </c>
      <c r="B10" s="5" t="n">
        <v>0.01</v>
      </c>
    </row>
    <row r="11">
      <c r="A11" s="5" t="inlineStr">
        <is>
          <t>Payout scale</t>
        </is>
      </c>
      <c r="B11" s="5" t="n">
        <v>100</v>
      </c>
    </row>
    <row r="12">
      <c r="A12" s="5" t="inlineStr">
        <is>
          <t>Max bet assumption</t>
        </is>
      </c>
      <c r="B12" s="5" t="n">
        <v>500</v>
      </c>
    </row>
    <row r="14">
      <c r="A14" s="3" t="inlineStr">
        <is>
          <t>Mode Metrics</t>
        </is>
      </c>
    </row>
    <row r="15">
      <c r="A15" s="6" t="inlineStr">
        <is>
          <t>Mode</t>
        </is>
      </c>
      <c r="B15" s="6" t="inlineStr">
        <is>
          <t>Cost</t>
        </is>
      </c>
      <c r="C15" s="6" t="inlineStr">
        <is>
          <t>Rows Config</t>
        </is>
      </c>
      <c r="D15" s="6" t="inlineStr">
        <is>
          <t>Expected Buckets</t>
        </is>
      </c>
      <c r="E15" s="6" t="inlineStr">
        <is>
          <t>Rows</t>
        </is>
      </c>
      <c r="F15" s="6" t="inlineStr">
        <is>
          <t>Unique Multipliers</t>
        </is>
      </c>
      <c r="G15" s="6" t="inlineStr">
        <is>
          <t>Bucket Structure Pass</t>
        </is>
      </c>
      <c r="H15" s="6" t="inlineStr">
        <is>
          <t>RTP Target</t>
        </is>
      </c>
      <c r="I15" s="6" t="inlineStr">
        <is>
          <t>RTP Actual</t>
        </is>
      </c>
      <c r="J15" s="6" t="inlineStr">
        <is>
          <t>Abs Drift</t>
        </is>
      </c>
      <c r="K15" s="6" t="inlineStr">
        <is>
          <t>RTP Pass</t>
        </is>
      </c>
      <c r="L15" s="6" t="inlineStr">
        <is>
          <t>Hit Rate</t>
        </is>
      </c>
      <c r="M15" s="6" t="inlineStr">
        <is>
          <t>Zero Rate</t>
        </is>
      </c>
      <c r="N15" s="6" t="inlineStr">
        <is>
          <t>Profit Rate</t>
        </is>
      </c>
      <c r="O15" s="6" t="inlineStr">
        <is>
          <t>Weighted Mean</t>
        </is>
      </c>
      <c r="P15" s="6" t="inlineStr">
        <is>
          <t>Std</t>
        </is>
      </c>
      <c r="Q15" s="6" t="inlineStr">
        <is>
          <t>Max Win</t>
        </is>
      </c>
      <c r="R15" s="6" t="inlineStr">
        <is>
          <t>Max Win Probability</t>
        </is>
      </c>
      <c r="S15" s="6" t="inlineStr">
        <is>
          <t>Max Exposure</t>
        </is>
      </c>
    </row>
    <row r="16">
      <c r="A16" s="5" t="inlineStr">
        <is>
          <t>buy100_expert_10</t>
        </is>
      </c>
      <c r="B16" s="5">
        <f>'buy100_expert_10'!$B$3</f>
        <v/>
      </c>
      <c r="C16" s="5" t="n">
        <v>10</v>
      </c>
      <c r="D16" s="5">
        <f>IF(C16="","",C16+1)</f>
        <v/>
      </c>
      <c r="E16" s="5">
        <f>'buy100_expert_10'!B21</f>
        <v/>
      </c>
      <c r="F16" s="5">
        <f>'buy100_expert_10'!B22</f>
        <v/>
      </c>
      <c r="G16" s="5">
        <f>IF(C16="","N/A",F16=ROUNDUP((C16+1)/2,0))</f>
        <v/>
      </c>
      <c r="H16" s="5">
        <f>'buy100_expert_10'!$D$3</f>
        <v/>
      </c>
      <c r="I16" s="5">
        <f>'buy100_expert_10'!G16</f>
        <v/>
      </c>
      <c r="J16" s="5">
        <f>ABS(I16-H16)</f>
        <v/>
      </c>
      <c r="K16" s="7">
        <f>'buy100_expert_10'!H16</f>
        <v/>
      </c>
      <c r="L16" s="5">
        <f>SUMIFS('buy100_expert_10'!E7:E14,'buy100_expert_10'!D7:D14,"&gt;0")</f>
        <v/>
      </c>
      <c r="M16" s="5">
        <f>SUMIFS('buy100_expert_10'!E7:E14,'buy100_expert_10'!D7:D14,"=0")</f>
        <v/>
      </c>
      <c r="N16" s="5">
        <f>SUMIFS('buy100_expert_10'!E7:E14,'buy100_expert_10'!D7:D14,"&gt;"&amp;B16)</f>
        <v/>
      </c>
      <c r="O16" s="5">
        <f>'buy100_expert_10'!F16</f>
        <v/>
      </c>
      <c r="P16" s="5">
        <f>SQRT(SUMPRODUCT('buy100_expert_10'!E7:E14,('buy100_expert_10'!D7:D14-O16)^2))</f>
        <v/>
      </c>
      <c r="Q16" s="5">
        <f>'buy100_expert_10'!B19</f>
        <v/>
      </c>
      <c r="R16" s="5">
        <f>'buy100_expert_10'!B20</f>
        <v/>
      </c>
      <c r="S16" s="5">
        <f>'buy100_expert_10'!B23</f>
        <v/>
      </c>
    </row>
    <row r="17">
      <c r="A17" s="5" t="inlineStr">
        <is>
          <t>buy100_expert_11</t>
        </is>
      </c>
      <c r="B17" s="5">
        <f>'buy100_expert_11'!$B$3</f>
        <v/>
      </c>
      <c r="C17" s="5" t="n">
        <v>11</v>
      </c>
      <c r="D17" s="5">
        <f>IF(C17="","",C17+1)</f>
        <v/>
      </c>
      <c r="E17" s="5">
        <f>'buy100_expert_11'!B22</f>
        <v/>
      </c>
      <c r="F17" s="5">
        <f>'buy100_expert_11'!B23</f>
        <v/>
      </c>
      <c r="G17" s="5">
        <f>IF(C17="","N/A",F17=ROUNDUP((C17+1)/2,0))</f>
        <v/>
      </c>
      <c r="H17" s="5">
        <f>'buy100_expert_11'!$D$3</f>
        <v/>
      </c>
      <c r="I17" s="5">
        <f>'buy100_expert_11'!G17</f>
        <v/>
      </c>
      <c r="J17" s="5">
        <f>ABS(I17-H17)</f>
        <v/>
      </c>
      <c r="K17" s="7">
        <f>'buy100_expert_11'!H17</f>
        <v/>
      </c>
      <c r="L17" s="5">
        <f>SUMIFS('buy100_expert_11'!E7:E15,'buy100_expert_11'!D7:D15,"&gt;0")</f>
        <v/>
      </c>
      <c r="M17" s="5">
        <f>SUMIFS('buy100_expert_11'!E7:E15,'buy100_expert_11'!D7:D15,"=0")</f>
        <v/>
      </c>
      <c r="N17" s="5">
        <f>SUMIFS('buy100_expert_11'!E7:E15,'buy100_expert_11'!D7:D15,"&gt;"&amp;B17)</f>
        <v/>
      </c>
      <c r="O17" s="5">
        <f>'buy100_expert_11'!F17</f>
        <v/>
      </c>
      <c r="P17" s="5">
        <f>SQRT(SUMPRODUCT('buy100_expert_11'!E7:E15,('buy100_expert_11'!D7:D15-O17)^2))</f>
        <v/>
      </c>
      <c r="Q17" s="5">
        <f>'buy100_expert_11'!B20</f>
        <v/>
      </c>
      <c r="R17" s="5">
        <f>'buy100_expert_11'!B21</f>
        <v/>
      </c>
      <c r="S17" s="5">
        <f>'buy100_expert_11'!B24</f>
        <v/>
      </c>
    </row>
    <row r="18">
      <c r="A18" s="5" t="inlineStr">
        <is>
          <t>buy100_expert_12</t>
        </is>
      </c>
      <c r="B18" s="5">
        <f>'buy100_expert_12'!$B$3</f>
        <v/>
      </c>
      <c r="C18" s="5" t="n">
        <v>12</v>
      </c>
      <c r="D18" s="5">
        <f>IF(C18="","",C18+1)</f>
        <v/>
      </c>
      <c r="E18" s="5">
        <f>'buy100_expert_12'!B23</f>
        <v/>
      </c>
      <c r="F18" s="5">
        <f>'buy100_expert_12'!B24</f>
        <v/>
      </c>
      <c r="G18" s="5">
        <f>IF(C18="","N/A",F18=ROUNDUP((C18+1)/2,0))</f>
        <v/>
      </c>
      <c r="H18" s="5">
        <f>'buy100_expert_12'!$D$3</f>
        <v/>
      </c>
      <c r="I18" s="5">
        <f>'buy100_expert_12'!G18</f>
        <v/>
      </c>
      <c r="J18" s="5">
        <f>ABS(I18-H18)</f>
        <v/>
      </c>
      <c r="K18" s="7">
        <f>'buy100_expert_12'!H18</f>
        <v/>
      </c>
      <c r="L18" s="5">
        <f>SUMIFS('buy100_expert_12'!E7:E16,'buy100_expert_12'!D7:D16,"&gt;0")</f>
        <v/>
      </c>
      <c r="M18" s="5">
        <f>SUMIFS('buy100_expert_12'!E7:E16,'buy100_expert_12'!D7:D16,"=0")</f>
        <v/>
      </c>
      <c r="N18" s="5">
        <f>SUMIFS('buy100_expert_12'!E7:E16,'buy100_expert_12'!D7:D16,"&gt;"&amp;B18)</f>
        <v/>
      </c>
      <c r="O18" s="5">
        <f>'buy100_expert_12'!F18</f>
        <v/>
      </c>
      <c r="P18" s="5">
        <f>SQRT(SUMPRODUCT('buy100_expert_12'!E7:E16,('buy100_expert_12'!D7:D16-O18)^2))</f>
        <v/>
      </c>
      <c r="Q18" s="5">
        <f>'buy100_expert_12'!B21</f>
        <v/>
      </c>
      <c r="R18" s="5">
        <f>'buy100_expert_12'!B22</f>
        <v/>
      </c>
      <c r="S18" s="5">
        <f>'buy100_expert_12'!B25</f>
        <v/>
      </c>
    </row>
    <row r="19">
      <c r="A19" s="5" t="inlineStr">
        <is>
          <t>buy100_expert_13</t>
        </is>
      </c>
      <c r="B19" s="5">
        <f>'buy100_expert_13'!$B$3</f>
        <v/>
      </c>
      <c r="C19" s="5" t="n">
        <v>13</v>
      </c>
      <c r="D19" s="5">
        <f>IF(C19="","",C19+1)</f>
        <v/>
      </c>
      <c r="E19" s="5">
        <f>'buy100_expert_13'!B24</f>
        <v/>
      </c>
      <c r="F19" s="5">
        <f>'buy100_expert_13'!B25</f>
        <v/>
      </c>
      <c r="G19" s="5">
        <f>IF(C19="","N/A",F19=ROUNDUP((C19+1)/2,0))</f>
        <v/>
      </c>
      <c r="H19" s="5">
        <f>'buy100_expert_13'!$D$3</f>
        <v/>
      </c>
      <c r="I19" s="5">
        <f>'buy100_expert_13'!G19</f>
        <v/>
      </c>
      <c r="J19" s="5">
        <f>ABS(I19-H19)</f>
        <v/>
      </c>
      <c r="K19" s="7">
        <f>'buy100_expert_13'!H19</f>
        <v/>
      </c>
      <c r="L19" s="5">
        <f>SUMIFS('buy100_expert_13'!E7:E17,'buy100_expert_13'!D7:D17,"&gt;0")</f>
        <v/>
      </c>
      <c r="M19" s="5">
        <f>SUMIFS('buy100_expert_13'!E7:E17,'buy100_expert_13'!D7:D17,"=0")</f>
        <v/>
      </c>
      <c r="N19" s="5">
        <f>SUMIFS('buy100_expert_13'!E7:E17,'buy100_expert_13'!D7:D17,"&gt;"&amp;B19)</f>
        <v/>
      </c>
      <c r="O19" s="5">
        <f>'buy100_expert_13'!F19</f>
        <v/>
      </c>
      <c r="P19" s="5">
        <f>SQRT(SUMPRODUCT('buy100_expert_13'!E7:E17,('buy100_expert_13'!D7:D17-O19)^2))</f>
        <v/>
      </c>
      <c r="Q19" s="5">
        <f>'buy100_expert_13'!B22</f>
        <v/>
      </c>
      <c r="R19" s="5">
        <f>'buy100_expert_13'!B23</f>
        <v/>
      </c>
      <c r="S19" s="5">
        <f>'buy100_expert_13'!B26</f>
        <v/>
      </c>
    </row>
    <row r="20">
      <c r="A20" s="5" t="inlineStr">
        <is>
          <t>buy100_expert_14</t>
        </is>
      </c>
      <c r="B20" s="5">
        <f>'buy100_expert_14'!$B$3</f>
        <v/>
      </c>
      <c r="C20" s="5" t="n">
        <v>14</v>
      </c>
      <c r="D20" s="5">
        <f>IF(C20="","",C20+1)</f>
        <v/>
      </c>
      <c r="E20" s="5">
        <f>'buy100_expert_14'!B25</f>
        <v/>
      </c>
      <c r="F20" s="5">
        <f>'buy100_expert_14'!B26</f>
        <v/>
      </c>
      <c r="G20" s="5">
        <f>IF(C20="","N/A",F20=ROUNDUP((C20+1)/2,0))</f>
        <v/>
      </c>
      <c r="H20" s="5">
        <f>'buy100_expert_14'!$D$3</f>
        <v/>
      </c>
      <c r="I20" s="5">
        <f>'buy100_expert_14'!G20</f>
        <v/>
      </c>
      <c r="J20" s="5">
        <f>ABS(I20-H20)</f>
        <v/>
      </c>
      <c r="K20" s="7">
        <f>'buy100_expert_14'!H20</f>
        <v/>
      </c>
      <c r="L20" s="5">
        <f>SUMIFS('buy100_expert_14'!E7:E18,'buy100_expert_14'!D7:D18,"&gt;0")</f>
        <v/>
      </c>
      <c r="M20" s="5">
        <f>SUMIFS('buy100_expert_14'!E7:E18,'buy100_expert_14'!D7:D18,"=0")</f>
        <v/>
      </c>
      <c r="N20" s="5">
        <f>SUMIFS('buy100_expert_14'!E7:E18,'buy100_expert_14'!D7:D18,"&gt;"&amp;B20)</f>
        <v/>
      </c>
      <c r="O20" s="5">
        <f>'buy100_expert_14'!F20</f>
        <v/>
      </c>
      <c r="P20" s="5">
        <f>SQRT(SUMPRODUCT('buy100_expert_14'!E7:E18,('buy100_expert_14'!D7:D18-O20)^2))</f>
        <v/>
      </c>
      <c r="Q20" s="5">
        <f>'buy100_expert_14'!B23</f>
        <v/>
      </c>
      <c r="R20" s="5">
        <f>'buy100_expert_14'!B24</f>
        <v/>
      </c>
      <c r="S20" s="5">
        <f>'buy100_expert_14'!B27</f>
        <v/>
      </c>
    </row>
    <row r="21">
      <c r="A21" s="5" t="inlineStr">
        <is>
          <t>buy100_expert_15</t>
        </is>
      </c>
      <c r="B21" s="5">
        <f>'buy100_expert_15'!$B$3</f>
        <v/>
      </c>
      <c r="C21" s="5" t="n">
        <v>15</v>
      </c>
      <c r="D21" s="5">
        <f>IF(C21="","",C21+1)</f>
        <v/>
      </c>
      <c r="E21" s="5">
        <f>'buy100_expert_15'!B24</f>
        <v/>
      </c>
      <c r="F21" s="5">
        <f>'buy100_expert_15'!B25</f>
        <v/>
      </c>
      <c r="G21" s="5">
        <f>IF(C21="","N/A",F21=ROUNDUP((C21+1)/2,0))</f>
        <v/>
      </c>
      <c r="H21" s="5">
        <f>'buy100_expert_15'!$D$3</f>
        <v/>
      </c>
      <c r="I21" s="5">
        <f>'buy100_expert_15'!G19</f>
        <v/>
      </c>
      <c r="J21" s="5">
        <f>ABS(I21-H21)</f>
        <v/>
      </c>
      <c r="K21" s="7">
        <f>'buy100_expert_15'!H19</f>
        <v/>
      </c>
      <c r="L21" s="5">
        <f>SUMIFS('buy100_expert_15'!E7:E17,'buy100_expert_15'!D7:D17,"&gt;0")</f>
        <v/>
      </c>
      <c r="M21" s="5">
        <f>SUMIFS('buy100_expert_15'!E7:E17,'buy100_expert_15'!D7:D17,"=0")</f>
        <v/>
      </c>
      <c r="N21" s="5">
        <f>SUMIFS('buy100_expert_15'!E7:E17,'buy100_expert_15'!D7:D17,"&gt;"&amp;B21)</f>
        <v/>
      </c>
      <c r="O21" s="5">
        <f>'buy100_expert_15'!F19</f>
        <v/>
      </c>
      <c r="P21" s="5">
        <f>SQRT(SUMPRODUCT('buy100_expert_15'!E7:E17,('buy100_expert_15'!D7:D17-O21)^2))</f>
        <v/>
      </c>
      <c r="Q21" s="5">
        <f>'buy100_expert_15'!B22</f>
        <v/>
      </c>
      <c r="R21" s="5">
        <f>'buy100_expert_15'!B23</f>
        <v/>
      </c>
      <c r="S21" s="5">
        <f>'buy100_expert_15'!B26</f>
        <v/>
      </c>
    </row>
    <row r="22">
      <c r="A22" s="5" t="inlineStr">
        <is>
          <t>buy100_expert_16</t>
        </is>
      </c>
      <c r="B22" s="5">
        <f>'buy100_expert_16'!$B$3</f>
        <v/>
      </c>
      <c r="C22" s="5" t="n">
        <v>16</v>
      </c>
      <c r="D22" s="5">
        <f>IF(C22="","",C22+1)</f>
        <v/>
      </c>
      <c r="E22" s="5">
        <f>'buy100_expert_16'!B25</f>
        <v/>
      </c>
      <c r="F22" s="5">
        <f>'buy100_expert_16'!B26</f>
        <v/>
      </c>
      <c r="G22" s="5">
        <f>IF(C22="","N/A",F22=ROUNDUP((C22+1)/2,0))</f>
        <v/>
      </c>
      <c r="H22" s="5">
        <f>'buy100_expert_16'!$D$3</f>
        <v/>
      </c>
      <c r="I22" s="5">
        <f>'buy100_expert_16'!G20</f>
        <v/>
      </c>
      <c r="J22" s="5">
        <f>ABS(I22-H22)</f>
        <v/>
      </c>
      <c r="K22" s="7">
        <f>'buy100_expert_16'!H20</f>
        <v/>
      </c>
      <c r="L22" s="5">
        <f>SUMIFS('buy100_expert_16'!E7:E18,'buy100_expert_16'!D7:D18,"&gt;0")</f>
        <v/>
      </c>
      <c r="M22" s="5">
        <f>SUMIFS('buy100_expert_16'!E7:E18,'buy100_expert_16'!D7:D18,"=0")</f>
        <v/>
      </c>
      <c r="N22" s="5">
        <f>SUMIFS('buy100_expert_16'!E7:E18,'buy100_expert_16'!D7:D18,"&gt;"&amp;B22)</f>
        <v/>
      </c>
      <c r="O22" s="5">
        <f>'buy100_expert_16'!F20</f>
        <v/>
      </c>
      <c r="P22" s="5">
        <f>SQRT(SUMPRODUCT('buy100_expert_16'!E7:E18,('buy100_expert_16'!D7:D18-O22)^2))</f>
        <v/>
      </c>
      <c r="Q22" s="5">
        <f>'buy100_expert_16'!B23</f>
        <v/>
      </c>
      <c r="R22" s="5">
        <f>'buy100_expert_16'!B24</f>
        <v/>
      </c>
      <c r="S22" s="5">
        <f>'buy100_expert_16'!B27</f>
        <v/>
      </c>
    </row>
    <row r="23">
      <c r="A23" s="5" t="inlineStr">
        <is>
          <t>buy100_expert_8</t>
        </is>
      </c>
      <c r="B23" s="5">
        <f>'buy100_expert_8'!$B$3</f>
        <v/>
      </c>
      <c r="C23" s="5" t="n">
        <v>8</v>
      </c>
      <c r="D23" s="5">
        <f>IF(C23="","",C23+1)</f>
        <v/>
      </c>
      <c r="E23" s="5">
        <f>'buy100_expert_8'!B21</f>
        <v/>
      </c>
      <c r="F23" s="5">
        <f>'buy100_expert_8'!B22</f>
        <v/>
      </c>
      <c r="G23" s="5">
        <f>IF(C23="","N/A",F23=ROUNDUP((C23+1)/2,0))</f>
        <v/>
      </c>
      <c r="H23" s="5">
        <f>'buy100_expert_8'!$D$3</f>
        <v/>
      </c>
      <c r="I23" s="5">
        <f>'buy100_expert_8'!G16</f>
        <v/>
      </c>
      <c r="J23" s="5">
        <f>ABS(I23-H23)</f>
        <v/>
      </c>
      <c r="K23" s="7">
        <f>'buy100_expert_8'!H16</f>
        <v/>
      </c>
      <c r="L23" s="5">
        <f>SUMIFS('buy100_expert_8'!E7:E14,'buy100_expert_8'!D7:D14,"&gt;0")</f>
        <v/>
      </c>
      <c r="M23" s="5">
        <f>SUMIFS('buy100_expert_8'!E7:E14,'buy100_expert_8'!D7:D14,"=0")</f>
        <v/>
      </c>
      <c r="N23" s="5">
        <f>SUMIFS('buy100_expert_8'!E7:E14,'buy100_expert_8'!D7:D14,"&gt;"&amp;B23)</f>
        <v/>
      </c>
      <c r="O23" s="5">
        <f>'buy100_expert_8'!F16</f>
        <v/>
      </c>
      <c r="P23" s="5">
        <f>SQRT(SUMPRODUCT('buy100_expert_8'!E7:E14,('buy100_expert_8'!D7:D14-O23)^2))</f>
        <v/>
      </c>
      <c r="Q23" s="5">
        <f>'buy100_expert_8'!B19</f>
        <v/>
      </c>
      <c r="R23" s="5">
        <f>'buy100_expert_8'!B20</f>
        <v/>
      </c>
      <c r="S23" s="5">
        <f>'buy100_expert_8'!B23</f>
        <v/>
      </c>
    </row>
    <row r="24">
      <c r="A24" s="5" t="inlineStr">
        <is>
          <t>buy100_expert_9</t>
        </is>
      </c>
      <c r="B24" s="5">
        <f>'buy100_expert_9'!$B$3</f>
        <v/>
      </c>
      <c r="C24" s="5" t="n">
        <v>9</v>
      </c>
      <c r="D24" s="5">
        <f>IF(C24="","",C24+1)</f>
        <v/>
      </c>
      <c r="E24" s="5">
        <f>'buy100_expert_9'!B22</f>
        <v/>
      </c>
      <c r="F24" s="5">
        <f>'buy100_expert_9'!B23</f>
        <v/>
      </c>
      <c r="G24" s="5">
        <f>IF(C24="","N/A",F24=ROUNDUP((C24+1)/2,0))</f>
        <v/>
      </c>
      <c r="H24" s="5">
        <f>'buy100_expert_9'!$D$3</f>
        <v/>
      </c>
      <c r="I24" s="5">
        <f>'buy100_expert_9'!G17</f>
        <v/>
      </c>
      <c r="J24" s="5">
        <f>ABS(I24-H24)</f>
        <v/>
      </c>
      <c r="K24" s="7">
        <f>'buy100_expert_9'!H17</f>
        <v/>
      </c>
      <c r="L24" s="5">
        <f>SUMIFS('buy100_expert_9'!E7:E15,'buy100_expert_9'!D7:D15,"&gt;0")</f>
        <v/>
      </c>
      <c r="M24" s="5">
        <f>SUMIFS('buy100_expert_9'!E7:E15,'buy100_expert_9'!D7:D15,"=0")</f>
        <v/>
      </c>
      <c r="N24" s="5">
        <f>SUMIFS('buy100_expert_9'!E7:E15,'buy100_expert_9'!D7:D15,"&gt;"&amp;B24)</f>
        <v/>
      </c>
      <c r="O24" s="5">
        <f>'buy100_expert_9'!F17</f>
        <v/>
      </c>
      <c r="P24" s="5">
        <f>SQRT(SUMPRODUCT('buy100_expert_9'!E7:E15,('buy100_expert_9'!D7:D15-O24)^2))</f>
        <v/>
      </c>
      <c r="Q24" s="5">
        <f>'buy100_expert_9'!B20</f>
        <v/>
      </c>
      <c r="R24" s="5">
        <f>'buy100_expert_9'!B21</f>
        <v/>
      </c>
      <c r="S24" s="5">
        <f>'buy100_expert_9'!B24</f>
        <v/>
      </c>
    </row>
    <row r="25">
      <c r="A25" s="5" t="inlineStr">
        <is>
          <t>buy100_high_10</t>
        </is>
      </c>
      <c r="B25" s="5">
        <f>'buy100_high_10'!$B$3</f>
        <v/>
      </c>
      <c r="C25" s="5" t="n">
        <v>10</v>
      </c>
      <c r="D25" s="5">
        <f>IF(C25="","",C25+1)</f>
        <v/>
      </c>
      <c r="E25" s="5">
        <f>'buy100_high_10'!B23</f>
        <v/>
      </c>
      <c r="F25" s="5">
        <f>'buy100_high_10'!B24</f>
        <v/>
      </c>
      <c r="G25" s="5">
        <f>IF(C25="","N/A",F25=ROUNDUP((C25+1)/2,0))</f>
        <v/>
      </c>
      <c r="H25" s="5">
        <f>'buy100_high_10'!$D$3</f>
        <v/>
      </c>
      <c r="I25" s="5">
        <f>'buy100_high_10'!G18</f>
        <v/>
      </c>
      <c r="J25" s="5">
        <f>ABS(I25-H25)</f>
        <v/>
      </c>
      <c r="K25" s="7">
        <f>'buy100_high_10'!H18</f>
        <v/>
      </c>
      <c r="L25" s="5">
        <f>SUMIFS('buy100_high_10'!E7:E16,'buy100_high_10'!D7:D16,"&gt;0")</f>
        <v/>
      </c>
      <c r="M25" s="5">
        <f>SUMIFS('buy100_high_10'!E7:E16,'buy100_high_10'!D7:D16,"=0")</f>
        <v/>
      </c>
      <c r="N25" s="5">
        <f>SUMIFS('buy100_high_10'!E7:E16,'buy100_high_10'!D7:D16,"&gt;"&amp;B25)</f>
        <v/>
      </c>
      <c r="O25" s="5">
        <f>'buy100_high_10'!F18</f>
        <v/>
      </c>
      <c r="P25" s="5">
        <f>SQRT(SUMPRODUCT('buy100_high_10'!E7:E16,('buy100_high_10'!D7:D16-O25)^2))</f>
        <v/>
      </c>
      <c r="Q25" s="5">
        <f>'buy100_high_10'!B21</f>
        <v/>
      </c>
      <c r="R25" s="5">
        <f>'buy100_high_10'!B22</f>
        <v/>
      </c>
      <c r="S25" s="5">
        <f>'buy100_high_10'!B25</f>
        <v/>
      </c>
    </row>
    <row r="26">
      <c r="A26" s="5" t="inlineStr">
        <is>
          <t>buy100_high_11</t>
        </is>
      </c>
      <c r="B26" s="5">
        <f>'buy100_high_11'!$B$3</f>
        <v/>
      </c>
      <c r="C26" s="5" t="n">
        <v>11</v>
      </c>
      <c r="D26" s="5">
        <f>IF(C26="","",C26+1)</f>
        <v/>
      </c>
      <c r="E26" s="5">
        <f>'buy100_high_11'!B24</f>
        <v/>
      </c>
      <c r="F26" s="5">
        <f>'buy100_high_11'!B25</f>
        <v/>
      </c>
      <c r="G26" s="5">
        <f>IF(C26="","N/A",F26=ROUNDUP((C26+1)/2,0))</f>
        <v/>
      </c>
      <c r="H26" s="5">
        <f>'buy100_high_11'!$D$3</f>
        <v/>
      </c>
      <c r="I26" s="5">
        <f>'buy100_high_11'!G19</f>
        <v/>
      </c>
      <c r="J26" s="5">
        <f>ABS(I26-H26)</f>
        <v/>
      </c>
      <c r="K26" s="7">
        <f>'buy100_high_11'!H19</f>
        <v/>
      </c>
      <c r="L26" s="5">
        <f>SUMIFS('buy100_high_11'!E7:E17,'buy100_high_11'!D7:D17,"&gt;0")</f>
        <v/>
      </c>
      <c r="M26" s="5">
        <f>SUMIFS('buy100_high_11'!E7:E17,'buy100_high_11'!D7:D17,"=0")</f>
        <v/>
      </c>
      <c r="N26" s="5">
        <f>SUMIFS('buy100_high_11'!E7:E17,'buy100_high_11'!D7:D17,"&gt;"&amp;B26)</f>
        <v/>
      </c>
      <c r="O26" s="5">
        <f>'buy100_high_11'!F19</f>
        <v/>
      </c>
      <c r="P26" s="5">
        <f>SQRT(SUMPRODUCT('buy100_high_11'!E7:E17,('buy100_high_11'!D7:D17-O26)^2))</f>
        <v/>
      </c>
      <c r="Q26" s="5">
        <f>'buy100_high_11'!B22</f>
        <v/>
      </c>
      <c r="R26" s="5">
        <f>'buy100_high_11'!B23</f>
        <v/>
      </c>
      <c r="S26" s="5">
        <f>'buy100_high_11'!B26</f>
        <v/>
      </c>
    </row>
    <row r="27">
      <c r="A27" s="5" t="inlineStr">
        <is>
          <t>buy100_high_12</t>
        </is>
      </c>
      <c r="B27" s="5">
        <f>'buy100_high_12'!$B$3</f>
        <v/>
      </c>
      <c r="C27" s="5" t="n">
        <v>12</v>
      </c>
      <c r="D27" s="5">
        <f>IF(C27="","",C27+1)</f>
        <v/>
      </c>
      <c r="E27" s="5">
        <f>'buy100_high_12'!B25</f>
        <v/>
      </c>
      <c r="F27" s="5">
        <f>'buy100_high_12'!B26</f>
        <v/>
      </c>
      <c r="G27" s="5">
        <f>IF(C27="","N/A",F27=ROUNDUP((C27+1)/2,0))</f>
        <v/>
      </c>
      <c r="H27" s="5">
        <f>'buy100_high_12'!$D$3</f>
        <v/>
      </c>
      <c r="I27" s="5">
        <f>'buy100_high_12'!G20</f>
        <v/>
      </c>
      <c r="J27" s="5">
        <f>ABS(I27-H27)</f>
        <v/>
      </c>
      <c r="K27" s="7">
        <f>'buy100_high_12'!H20</f>
        <v/>
      </c>
      <c r="L27" s="5">
        <f>SUMIFS('buy100_high_12'!E7:E18,'buy100_high_12'!D7:D18,"&gt;0")</f>
        <v/>
      </c>
      <c r="M27" s="5">
        <f>SUMIFS('buy100_high_12'!E7:E18,'buy100_high_12'!D7:D18,"=0")</f>
        <v/>
      </c>
      <c r="N27" s="5">
        <f>SUMIFS('buy100_high_12'!E7:E18,'buy100_high_12'!D7:D18,"&gt;"&amp;B27)</f>
        <v/>
      </c>
      <c r="O27" s="5">
        <f>'buy100_high_12'!F20</f>
        <v/>
      </c>
      <c r="P27" s="5">
        <f>SQRT(SUMPRODUCT('buy100_high_12'!E7:E18,('buy100_high_12'!D7:D18-O27)^2))</f>
        <v/>
      </c>
      <c r="Q27" s="5">
        <f>'buy100_high_12'!B23</f>
        <v/>
      </c>
      <c r="R27" s="5">
        <f>'buy100_high_12'!B24</f>
        <v/>
      </c>
      <c r="S27" s="5">
        <f>'buy100_high_12'!B27</f>
        <v/>
      </c>
    </row>
    <row r="28">
      <c r="A28" s="5" t="inlineStr">
        <is>
          <t>buy100_high_13</t>
        </is>
      </c>
      <c r="B28" s="5">
        <f>'buy100_high_13'!$B$3</f>
        <v/>
      </c>
      <c r="C28" s="5" t="n">
        <v>13</v>
      </c>
      <c r="D28" s="5">
        <f>IF(C28="","",C28+1)</f>
        <v/>
      </c>
      <c r="E28" s="5">
        <f>'buy100_high_13'!B26</f>
        <v/>
      </c>
      <c r="F28" s="5">
        <f>'buy100_high_13'!B27</f>
        <v/>
      </c>
      <c r="G28" s="5">
        <f>IF(C28="","N/A",F28=ROUNDUP((C28+1)/2,0))</f>
        <v/>
      </c>
      <c r="H28" s="5">
        <f>'buy100_high_13'!$D$3</f>
        <v/>
      </c>
      <c r="I28" s="5">
        <f>'buy100_high_13'!G21</f>
        <v/>
      </c>
      <c r="J28" s="5">
        <f>ABS(I28-H28)</f>
        <v/>
      </c>
      <c r="K28" s="7">
        <f>'buy100_high_13'!H21</f>
        <v/>
      </c>
      <c r="L28" s="5">
        <f>SUMIFS('buy100_high_13'!E7:E19,'buy100_high_13'!D7:D19,"&gt;0")</f>
        <v/>
      </c>
      <c r="M28" s="5">
        <f>SUMIFS('buy100_high_13'!E7:E19,'buy100_high_13'!D7:D19,"=0")</f>
        <v/>
      </c>
      <c r="N28" s="5">
        <f>SUMIFS('buy100_high_13'!E7:E19,'buy100_high_13'!D7:D19,"&gt;"&amp;B28)</f>
        <v/>
      </c>
      <c r="O28" s="5">
        <f>'buy100_high_13'!F21</f>
        <v/>
      </c>
      <c r="P28" s="5">
        <f>SQRT(SUMPRODUCT('buy100_high_13'!E7:E19,('buy100_high_13'!D7:D19-O28)^2))</f>
        <v/>
      </c>
      <c r="Q28" s="5">
        <f>'buy100_high_13'!B24</f>
        <v/>
      </c>
      <c r="R28" s="5">
        <f>'buy100_high_13'!B25</f>
        <v/>
      </c>
      <c r="S28" s="5">
        <f>'buy100_high_13'!B28</f>
        <v/>
      </c>
    </row>
    <row r="29">
      <c r="A29" s="5" t="inlineStr">
        <is>
          <t>buy100_high_14</t>
        </is>
      </c>
      <c r="B29" s="5">
        <f>'buy100_high_14'!$B$3</f>
        <v/>
      </c>
      <c r="C29" s="5" t="n">
        <v>14</v>
      </c>
      <c r="D29" s="5">
        <f>IF(C29="","",C29+1)</f>
        <v/>
      </c>
      <c r="E29" s="5">
        <f>'buy100_high_14'!B25</f>
        <v/>
      </c>
      <c r="F29" s="5">
        <f>'buy100_high_14'!B26</f>
        <v/>
      </c>
      <c r="G29" s="5">
        <f>IF(C29="","N/A",F29=ROUNDUP((C29+1)/2,0))</f>
        <v/>
      </c>
      <c r="H29" s="5">
        <f>'buy100_high_14'!$D$3</f>
        <v/>
      </c>
      <c r="I29" s="5">
        <f>'buy100_high_14'!G20</f>
        <v/>
      </c>
      <c r="J29" s="5">
        <f>ABS(I29-H29)</f>
        <v/>
      </c>
      <c r="K29" s="7">
        <f>'buy100_high_14'!H20</f>
        <v/>
      </c>
      <c r="L29" s="5">
        <f>SUMIFS('buy100_high_14'!E7:E18,'buy100_high_14'!D7:D18,"&gt;0")</f>
        <v/>
      </c>
      <c r="M29" s="5">
        <f>SUMIFS('buy100_high_14'!E7:E18,'buy100_high_14'!D7:D18,"=0")</f>
        <v/>
      </c>
      <c r="N29" s="5">
        <f>SUMIFS('buy100_high_14'!E7:E18,'buy100_high_14'!D7:D18,"&gt;"&amp;B29)</f>
        <v/>
      </c>
      <c r="O29" s="5">
        <f>'buy100_high_14'!F20</f>
        <v/>
      </c>
      <c r="P29" s="5">
        <f>SQRT(SUMPRODUCT('buy100_high_14'!E7:E18,('buy100_high_14'!D7:D18-O29)^2))</f>
        <v/>
      </c>
      <c r="Q29" s="5">
        <f>'buy100_high_14'!B23</f>
        <v/>
      </c>
      <c r="R29" s="5">
        <f>'buy100_high_14'!B24</f>
        <v/>
      </c>
      <c r="S29" s="5">
        <f>'buy100_high_14'!B27</f>
        <v/>
      </c>
    </row>
    <row r="30">
      <c r="A30" s="5" t="inlineStr">
        <is>
          <t>buy100_high_15</t>
        </is>
      </c>
      <c r="B30" s="5">
        <f>'buy100_high_15'!$B$3</f>
        <v/>
      </c>
      <c r="C30" s="5" t="n">
        <v>15</v>
      </c>
      <c r="D30" s="5">
        <f>IF(C30="","",C30+1)</f>
        <v/>
      </c>
      <c r="E30" s="5">
        <f>'buy100_high_15'!B26</f>
        <v/>
      </c>
      <c r="F30" s="5">
        <f>'buy100_high_15'!B27</f>
        <v/>
      </c>
      <c r="G30" s="5">
        <f>IF(C30="","N/A",F30=ROUNDUP((C30+1)/2,0))</f>
        <v/>
      </c>
      <c r="H30" s="5">
        <f>'buy100_high_15'!$D$3</f>
        <v/>
      </c>
      <c r="I30" s="5">
        <f>'buy100_high_15'!G21</f>
        <v/>
      </c>
      <c r="J30" s="5">
        <f>ABS(I30-H30)</f>
        <v/>
      </c>
      <c r="K30" s="7">
        <f>'buy100_high_15'!H21</f>
        <v/>
      </c>
      <c r="L30" s="5">
        <f>SUMIFS('buy100_high_15'!E7:E19,'buy100_high_15'!D7:D19,"&gt;0")</f>
        <v/>
      </c>
      <c r="M30" s="5">
        <f>SUMIFS('buy100_high_15'!E7:E19,'buy100_high_15'!D7:D19,"=0")</f>
        <v/>
      </c>
      <c r="N30" s="5">
        <f>SUMIFS('buy100_high_15'!E7:E19,'buy100_high_15'!D7:D19,"&gt;"&amp;B30)</f>
        <v/>
      </c>
      <c r="O30" s="5">
        <f>'buy100_high_15'!F21</f>
        <v/>
      </c>
      <c r="P30" s="5">
        <f>SQRT(SUMPRODUCT('buy100_high_15'!E7:E19,('buy100_high_15'!D7:D19-O30)^2))</f>
        <v/>
      </c>
      <c r="Q30" s="5">
        <f>'buy100_high_15'!B24</f>
        <v/>
      </c>
      <c r="R30" s="5">
        <f>'buy100_high_15'!B25</f>
        <v/>
      </c>
      <c r="S30" s="5">
        <f>'buy100_high_15'!B28</f>
        <v/>
      </c>
    </row>
    <row r="31">
      <c r="A31" s="5" t="inlineStr">
        <is>
          <t>buy100_high_16</t>
        </is>
      </c>
      <c r="B31" s="5">
        <f>'buy100_high_16'!$B$3</f>
        <v/>
      </c>
      <c r="C31" s="5" t="n">
        <v>16</v>
      </c>
      <c r="D31" s="5">
        <f>IF(C31="","",C31+1)</f>
        <v/>
      </c>
      <c r="E31" s="5">
        <f>'buy100_high_16'!B27</f>
        <v/>
      </c>
      <c r="F31" s="5">
        <f>'buy100_high_16'!B28</f>
        <v/>
      </c>
      <c r="G31" s="5">
        <f>IF(C31="","N/A",F31=ROUNDUP((C31+1)/2,0))</f>
        <v/>
      </c>
      <c r="H31" s="5">
        <f>'buy100_high_16'!$D$3</f>
        <v/>
      </c>
      <c r="I31" s="5">
        <f>'buy100_high_16'!G22</f>
        <v/>
      </c>
      <c r="J31" s="5">
        <f>ABS(I31-H31)</f>
        <v/>
      </c>
      <c r="K31" s="7">
        <f>'buy100_high_16'!H22</f>
        <v/>
      </c>
      <c r="L31" s="5">
        <f>SUMIFS('buy100_high_16'!E7:E20,'buy100_high_16'!D7:D20,"&gt;0")</f>
        <v/>
      </c>
      <c r="M31" s="5">
        <f>SUMIFS('buy100_high_16'!E7:E20,'buy100_high_16'!D7:D20,"=0")</f>
        <v/>
      </c>
      <c r="N31" s="5">
        <f>SUMIFS('buy100_high_16'!E7:E20,'buy100_high_16'!D7:D20,"&gt;"&amp;B31)</f>
        <v/>
      </c>
      <c r="O31" s="5">
        <f>'buy100_high_16'!F22</f>
        <v/>
      </c>
      <c r="P31" s="5">
        <f>SQRT(SUMPRODUCT('buy100_high_16'!E7:E20,('buy100_high_16'!D7:D20-O31)^2))</f>
        <v/>
      </c>
      <c r="Q31" s="5">
        <f>'buy100_high_16'!B25</f>
        <v/>
      </c>
      <c r="R31" s="5">
        <f>'buy100_high_16'!B26</f>
        <v/>
      </c>
      <c r="S31" s="5">
        <f>'buy100_high_16'!B29</f>
        <v/>
      </c>
    </row>
    <row r="32">
      <c r="A32" s="5" t="inlineStr">
        <is>
          <t>buy100_high_8</t>
        </is>
      </c>
      <c r="B32" s="5">
        <f>'buy100_high_8'!$B$3</f>
        <v/>
      </c>
      <c r="C32" s="5" t="n">
        <v>8</v>
      </c>
      <c r="D32" s="5">
        <f>IF(C32="","",C32+1)</f>
        <v/>
      </c>
      <c r="E32" s="5">
        <f>'buy100_high_8'!B22</f>
        <v/>
      </c>
      <c r="F32" s="5">
        <f>'buy100_high_8'!B23</f>
        <v/>
      </c>
      <c r="G32" s="5">
        <f>IF(C32="","N/A",F32=ROUNDUP((C32+1)/2,0))</f>
        <v/>
      </c>
      <c r="H32" s="5">
        <f>'buy100_high_8'!$D$3</f>
        <v/>
      </c>
      <c r="I32" s="5">
        <f>'buy100_high_8'!G17</f>
        <v/>
      </c>
      <c r="J32" s="5">
        <f>ABS(I32-H32)</f>
        <v/>
      </c>
      <c r="K32" s="7">
        <f>'buy100_high_8'!H17</f>
        <v/>
      </c>
      <c r="L32" s="5">
        <f>SUMIFS('buy100_high_8'!E7:E15,'buy100_high_8'!D7:D15,"&gt;0")</f>
        <v/>
      </c>
      <c r="M32" s="5">
        <f>SUMIFS('buy100_high_8'!E7:E15,'buy100_high_8'!D7:D15,"=0")</f>
        <v/>
      </c>
      <c r="N32" s="5">
        <f>SUMIFS('buy100_high_8'!E7:E15,'buy100_high_8'!D7:D15,"&gt;"&amp;B32)</f>
        <v/>
      </c>
      <c r="O32" s="5">
        <f>'buy100_high_8'!F17</f>
        <v/>
      </c>
      <c r="P32" s="5">
        <f>SQRT(SUMPRODUCT('buy100_high_8'!E7:E15,('buy100_high_8'!D7:D15-O32)^2))</f>
        <v/>
      </c>
      <c r="Q32" s="5">
        <f>'buy100_high_8'!B20</f>
        <v/>
      </c>
      <c r="R32" s="5">
        <f>'buy100_high_8'!B21</f>
        <v/>
      </c>
      <c r="S32" s="5">
        <f>'buy100_high_8'!B24</f>
        <v/>
      </c>
    </row>
    <row r="33">
      <c r="A33" s="5" t="inlineStr">
        <is>
          <t>buy100_high_9</t>
        </is>
      </c>
      <c r="B33" s="5">
        <f>'buy100_high_9'!$B$3</f>
        <v/>
      </c>
      <c r="C33" s="5" t="n">
        <v>9</v>
      </c>
      <c r="D33" s="5">
        <f>IF(C33="","",C33+1)</f>
        <v/>
      </c>
      <c r="E33" s="5">
        <f>'buy100_high_9'!B22</f>
        <v/>
      </c>
      <c r="F33" s="5">
        <f>'buy100_high_9'!B23</f>
        <v/>
      </c>
      <c r="G33" s="5">
        <f>IF(C33="","N/A",F33=ROUNDUP((C33+1)/2,0))</f>
        <v/>
      </c>
      <c r="H33" s="5">
        <f>'buy100_high_9'!$D$3</f>
        <v/>
      </c>
      <c r="I33" s="5">
        <f>'buy100_high_9'!G17</f>
        <v/>
      </c>
      <c r="J33" s="5">
        <f>ABS(I33-H33)</f>
        <v/>
      </c>
      <c r="K33" s="7">
        <f>'buy100_high_9'!H17</f>
        <v/>
      </c>
      <c r="L33" s="5">
        <f>SUMIFS('buy100_high_9'!E7:E15,'buy100_high_9'!D7:D15,"&gt;0")</f>
        <v/>
      </c>
      <c r="M33" s="5">
        <f>SUMIFS('buy100_high_9'!E7:E15,'buy100_high_9'!D7:D15,"=0")</f>
        <v/>
      </c>
      <c r="N33" s="5">
        <f>SUMIFS('buy100_high_9'!E7:E15,'buy100_high_9'!D7:D15,"&gt;"&amp;B33)</f>
        <v/>
      </c>
      <c r="O33" s="5">
        <f>'buy100_high_9'!F17</f>
        <v/>
      </c>
      <c r="P33" s="5">
        <f>SQRT(SUMPRODUCT('buy100_high_9'!E7:E15,('buy100_high_9'!D7:D15-O33)^2))</f>
        <v/>
      </c>
      <c r="Q33" s="5">
        <f>'buy100_high_9'!B20</f>
        <v/>
      </c>
      <c r="R33" s="5">
        <f>'buy100_high_9'!B21</f>
        <v/>
      </c>
      <c r="S33" s="5">
        <f>'buy100_high_9'!B24</f>
        <v/>
      </c>
    </row>
    <row r="34">
      <c r="A34" s="5" t="inlineStr">
        <is>
          <t>buy100_low_10</t>
        </is>
      </c>
      <c r="B34" s="5">
        <f>'buy100_low_10'!$B$3</f>
        <v/>
      </c>
      <c r="C34" s="5" t="n">
        <v>10</v>
      </c>
      <c r="D34" s="5">
        <f>IF(C34="","",C34+1)</f>
        <v/>
      </c>
      <c r="E34" s="5">
        <f>'buy100_low_10'!B24</f>
        <v/>
      </c>
      <c r="F34" s="5">
        <f>'buy100_low_10'!B25</f>
        <v/>
      </c>
      <c r="G34" s="5">
        <f>IF(C34="","N/A",F34=ROUNDUP((C34+1)/2,0))</f>
        <v/>
      </c>
      <c r="H34" s="5">
        <f>'buy100_low_10'!$D$3</f>
        <v/>
      </c>
      <c r="I34" s="5">
        <f>'buy100_low_10'!G19</f>
        <v/>
      </c>
      <c r="J34" s="5">
        <f>ABS(I34-H34)</f>
        <v/>
      </c>
      <c r="K34" s="7">
        <f>'buy100_low_10'!H19</f>
        <v/>
      </c>
      <c r="L34" s="5">
        <f>SUMIFS('buy100_low_10'!E7:E17,'buy100_low_10'!D7:D17,"&gt;0")</f>
        <v/>
      </c>
      <c r="M34" s="5">
        <f>SUMIFS('buy100_low_10'!E7:E17,'buy100_low_10'!D7:D17,"=0")</f>
        <v/>
      </c>
      <c r="N34" s="5">
        <f>SUMIFS('buy100_low_10'!E7:E17,'buy100_low_10'!D7:D17,"&gt;"&amp;B34)</f>
        <v/>
      </c>
      <c r="O34" s="5">
        <f>'buy100_low_10'!F19</f>
        <v/>
      </c>
      <c r="P34" s="5">
        <f>SQRT(SUMPRODUCT('buy100_low_10'!E7:E17,('buy100_low_10'!D7:D17-O34)^2))</f>
        <v/>
      </c>
      <c r="Q34" s="5">
        <f>'buy100_low_10'!B22</f>
        <v/>
      </c>
      <c r="R34" s="5">
        <f>'buy100_low_10'!B23</f>
        <v/>
      </c>
      <c r="S34" s="5">
        <f>'buy100_low_10'!B26</f>
        <v/>
      </c>
    </row>
    <row r="35">
      <c r="A35" s="5" t="inlineStr">
        <is>
          <t>buy100_low_11</t>
        </is>
      </c>
      <c r="B35" s="5">
        <f>'buy100_low_11'!$B$3</f>
        <v/>
      </c>
      <c r="C35" s="5" t="n">
        <v>11</v>
      </c>
      <c r="D35" s="5">
        <f>IF(C35="","",C35+1)</f>
        <v/>
      </c>
      <c r="E35" s="5">
        <f>'buy100_low_11'!B24</f>
        <v/>
      </c>
      <c r="F35" s="5">
        <f>'buy100_low_11'!B25</f>
        <v/>
      </c>
      <c r="G35" s="5">
        <f>IF(C35="","N/A",F35=ROUNDUP((C35+1)/2,0))</f>
        <v/>
      </c>
      <c r="H35" s="5">
        <f>'buy100_low_11'!$D$3</f>
        <v/>
      </c>
      <c r="I35" s="5">
        <f>'buy100_low_11'!G19</f>
        <v/>
      </c>
      <c r="J35" s="5">
        <f>ABS(I35-H35)</f>
        <v/>
      </c>
      <c r="K35" s="7">
        <f>'buy100_low_11'!H19</f>
        <v/>
      </c>
      <c r="L35" s="5">
        <f>SUMIFS('buy100_low_11'!E7:E17,'buy100_low_11'!D7:D17,"&gt;0")</f>
        <v/>
      </c>
      <c r="M35" s="5">
        <f>SUMIFS('buy100_low_11'!E7:E17,'buy100_low_11'!D7:D17,"=0")</f>
        <v/>
      </c>
      <c r="N35" s="5">
        <f>SUMIFS('buy100_low_11'!E7:E17,'buy100_low_11'!D7:D17,"&gt;"&amp;B35)</f>
        <v/>
      </c>
      <c r="O35" s="5">
        <f>'buy100_low_11'!F19</f>
        <v/>
      </c>
      <c r="P35" s="5">
        <f>SQRT(SUMPRODUCT('buy100_low_11'!E7:E17,('buy100_low_11'!D7:D17-O35)^2))</f>
        <v/>
      </c>
      <c r="Q35" s="5">
        <f>'buy100_low_11'!B22</f>
        <v/>
      </c>
      <c r="R35" s="5">
        <f>'buy100_low_11'!B23</f>
        <v/>
      </c>
      <c r="S35" s="5">
        <f>'buy100_low_11'!B26</f>
        <v/>
      </c>
    </row>
    <row r="36">
      <c r="A36" s="5" t="inlineStr">
        <is>
          <t>buy100_low_12</t>
        </is>
      </c>
      <c r="B36" s="5">
        <f>'buy100_low_12'!$B$3</f>
        <v/>
      </c>
      <c r="C36" s="5" t="n">
        <v>12</v>
      </c>
      <c r="D36" s="5">
        <f>IF(C36="","",C36+1)</f>
        <v/>
      </c>
      <c r="E36" s="5">
        <f>'buy100_low_12'!B25</f>
        <v/>
      </c>
      <c r="F36" s="5">
        <f>'buy100_low_12'!B26</f>
        <v/>
      </c>
      <c r="G36" s="5">
        <f>IF(C36="","N/A",F36=ROUNDUP((C36+1)/2,0))</f>
        <v/>
      </c>
      <c r="H36" s="5">
        <f>'buy100_low_12'!$D$3</f>
        <v/>
      </c>
      <c r="I36" s="5">
        <f>'buy100_low_12'!G20</f>
        <v/>
      </c>
      <c r="J36" s="5">
        <f>ABS(I36-H36)</f>
        <v/>
      </c>
      <c r="K36" s="7">
        <f>'buy100_low_12'!H20</f>
        <v/>
      </c>
      <c r="L36" s="5">
        <f>SUMIFS('buy100_low_12'!E7:E18,'buy100_low_12'!D7:D18,"&gt;0")</f>
        <v/>
      </c>
      <c r="M36" s="5">
        <f>SUMIFS('buy100_low_12'!E7:E18,'buy100_low_12'!D7:D18,"=0")</f>
        <v/>
      </c>
      <c r="N36" s="5">
        <f>SUMIFS('buy100_low_12'!E7:E18,'buy100_low_12'!D7:D18,"&gt;"&amp;B36)</f>
        <v/>
      </c>
      <c r="O36" s="5">
        <f>'buy100_low_12'!F20</f>
        <v/>
      </c>
      <c r="P36" s="5">
        <f>SQRT(SUMPRODUCT('buy100_low_12'!E7:E18,('buy100_low_12'!D7:D18-O36)^2))</f>
        <v/>
      </c>
      <c r="Q36" s="5">
        <f>'buy100_low_12'!B23</f>
        <v/>
      </c>
      <c r="R36" s="5">
        <f>'buy100_low_12'!B24</f>
        <v/>
      </c>
      <c r="S36" s="5">
        <f>'buy100_low_12'!B27</f>
        <v/>
      </c>
    </row>
    <row r="37">
      <c r="A37" s="5" t="inlineStr">
        <is>
          <t>buy100_low_13</t>
        </is>
      </c>
      <c r="B37" s="5">
        <f>'buy100_low_13'!$B$3</f>
        <v/>
      </c>
      <c r="C37" s="5" t="n">
        <v>13</v>
      </c>
      <c r="D37" s="5">
        <f>IF(C37="","",C37+1)</f>
        <v/>
      </c>
      <c r="E37" s="5">
        <f>'buy100_low_13'!B27</f>
        <v/>
      </c>
      <c r="F37" s="5">
        <f>'buy100_low_13'!B28</f>
        <v/>
      </c>
      <c r="G37" s="5">
        <f>IF(C37="","N/A",F37=ROUNDUP((C37+1)/2,0))</f>
        <v/>
      </c>
      <c r="H37" s="5">
        <f>'buy100_low_13'!$D$3</f>
        <v/>
      </c>
      <c r="I37" s="5">
        <f>'buy100_low_13'!G22</f>
        <v/>
      </c>
      <c r="J37" s="5">
        <f>ABS(I37-H37)</f>
        <v/>
      </c>
      <c r="K37" s="7">
        <f>'buy100_low_13'!H22</f>
        <v/>
      </c>
      <c r="L37" s="5">
        <f>SUMIFS('buy100_low_13'!E7:E20,'buy100_low_13'!D7:D20,"&gt;0")</f>
        <v/>
      </c>
      <c r="M37" s="5">
        <f>SUMIFS('buy100_low_13'!E7:E20,'buy100_low_13'!D7:D20,"=0")</f>
        <v/>
      </c>
      <c r="N37" s="5">
        <f>SUMIFS('buy100_low_13'!E7:E20,'buy100_low_13'!D7:D20,"&gt;"&amp;B37)</f>
        <v/>
      </c>
      <c r="O37" s="5">
        <f>'buy100_low_13'!F22</f>
        <v/>
      </c>
      <c r="P37" s="5">
        <f>SQRT(SUMPRODUCT('buy100_low_13'!E7:E20,('buy100_low_13'!D7:D20-O37)^2))</f>
        <v/>
      </c>
      <c r="Q37" s="5">
        <f>'buy100_low_13'!B25</f>
        <v/>
      </c>
      <c r="R37" s="5">
        <f>'buy100_low_13'!B26</f>
        <v/>
      </c>
      <c r="S37" s="5">
        <f>'buy100_low_13'!B29</f>
        <v/>
      </c>
    </row>
    <row r="38">
      <c r="A38" s="5" t="inlineStr">
        <is>
          <t>buy100_low_14</t>
        </is>
      </c>
      <c r="B38" s="5">
        <f>'buy100_low_14'!$B$3</f>
        <v/>
      </c>
      <c r="C38" s="5" t="n">
        <v>14</v>
      </c>
      <c r="D38" s="5">
        <f>IF(C38="","",C38+1)</f>
        <v/>
      </c>
      <c r="E38" s="5">
        <f>'buy100_low_14'!B27</f>
        <v/>
      </c>
      <c r="F38" s="5">
        <f>'buy100_low_14'!B28</f>
        <v/>
      </c>
      <c r="G38" s="5">
        <f>IF(C38="","N/A",F38=ROUNDUP((C38+1)/2,0))</f>
        <v/>
      </c>
      <c r="H38" s="5">
        <f>'buy100_low_14'!$D$3</f>
        <v/>
      </c>
      <c r="I38" s="5">
        <f>'buy100_low_14'!G22</f>
        <v/>
      </c>
      <c r="J38" s="5">
        <f>ABS(I38-H38)</f>
        <v/>
      </c>
      <c r="K38" s="7">
        <f>'buy100_low_14'!H22</f>
        <v/>
      </c>
      <c r="L38" s="5">
        <f>SUMIFS('buy100_low_14'!E7:E20,'buy100_low_14'!D7:D20,"&gt;0")</f>
        <v/>
      </c>
      <c r="M38" s="5">
        <f>SUMIFS('buy100_low_14'!E7:E20,'buy100_low_14'!D7:D20,"=0")</f>
        <v/>
      </c>
      <c r="N38" s="5">
        <f>SUMIFS('buy100_low_14'!E7:E20,'buy100_low_14'!D7:D20,"&gt;"&amp;B38)</f>
        <v/>
      </c>
      <c r="O38" s="5">
        <f>'buy100_low_14'!F22</f>
        <v/>
      </c>
      <c r="P38" s="5">
        <f>SQRT(SUMPRODUCT('buy100_low_14'!E7:E20,('buy100_low_14'!D7:D20-O38)^2))</f>
        <v/>
      </c>
      <c r="Q38" s="5">
        <f>'buy100_low_14'!B25</f>
        <v/>
      </c>
      <c r="R38" s="5">
        <f>'buy100_low_14'!B26</f>
        <v/>
      </c>
      <c r="S38" s="5">
        <f>'buy100_low_14'!B29</f>
        <v/>
      </c>
    </row>
    <row r="39">
      <c r="A39" s="5" t="inlineStr">
        <is>
          <t>buy100_low_15</t>
        </is>
      </c>
      <c r="B39" s="5">
        <f>'buy100_low_15'!$B$3</f>
        <v/>
      </c>
      <c r="C39" s="5" t="n">
        <v>15</v>
      </c>
      <c r="D39" s="5">
        <f>IF(C39="","",C39+1)</f>
        <v/>
      </c>
      <c r="E39" s="5">
        <f>'buy100_low_15'!B26</f>
        <v/>
      </c>
      <c r="F39" s="5">
        <f>'buy100_low_15'!B27</f>
        <v/>
      </c>
      <c r="G39" s="5">
        <f>IF(C39="","N/A",F39=ROUNDUP((C39+1)/2,0))</f>
        <v/>
      </c>
      <c r="H39" s="5">
        <f>'buy100_low_15'!$D$3</f>
        <v/>
      </c>
      <c r="I39" s="5">
        <f>'buy100_low_15'!G21</f>
        <v/>
      </c>
      <c r="J39" s="5">
        <f>ABS(I39-H39)</f>
        <v/>
      </c>
      <c r="K39" s="7">
        <f>'buy100_low_15'!H21</f>
        <v/>
      </c>
      <c r="L39" s="5">
        <f>SUMIFS('buy100_low_15'!E7:E19,'buy100_low_15'!D7:D19,"&gt;0")</f>
        <v/>
      </c>
      <c r="M39" s="5">
        <f>SUMIFS('buy100_low_15'!E7:E19,'buy100_low_15'!D7:D19,"=0")</f>
        <v/>
      </c>
      <c r="N39" s="5">
        <f>SUMIFS('buy100_low_15'!E7:E19,'buy100_low_15'!D7:D19,"&gt;"&amp;B39)</f>
        <v/>
      </c>
      <c r="O39" s="5">
        <f>'buy100_low_15'!F21</f>
        <v/>
      </c>
      <c r="P39" s="5">
        <f>SQRT(SUMPRODUCT('buy100_low_15'!E7:E19,('buy100_low_15'!D7:D19-O39)^2))</f>
        <v/>
      </c>
      <c r="Q39" s="5">
        <f>'buy100_low_15'!B24</f>
        <v/>
      </c>
      <c r="R39" s="5">
        <f>'buy100_low_15'!B25</f>
        <v/>
      </c>
      <c r="S39" s="5">
        <f>'buy100_low_15'!B28</f>
        <v/>
      </c>
    </row>
    <row r="40">
      <c r="A40" s="5" t="inlineStr">
        <is>
          <t>buy100_low_16</t>
        </is>
      </c>
      <c r="B40" s="5">
        <f>'buy100_low_16'!$B$3</f>
        <v/>
      </c>
      <c r="C40" s="5" t="n">
        <v>16</v>
      </c>
      <c r="D40" s="5">
        <f>IF(C40="","",C40+1)</f>
        <v/>
      </c>
      <c r="E40" s="5">
        <f>'buy100_low_16'!B27</f>
        <v/>
      </c>
      <c r="F40" s="5">
        <f>'buy100_low_16'!B28</f>
        <v/>
      </c>
      <c r="G40" s="5">
        <f>IF(C40="","N/A",F40=ROUNDUP((C40+1)/2,0))</f>
        <v/>
      </c>
      <c r="H40" s="5">
        <f>'buy100_low_16'!$D$3</f>
        <v/>
      </c>
      <c r="I40" s="5">
        <f>'buy100_low_16'!G22</f>
        <v/>
      </c>
      <c r="J40" s="5">
        <f>ABS(I40-H40)</f>
        <v/>
      </c>
      <c r="K40" s="7">
        <f>'buy100_low_16'!H22</f>
        <v/>
      </c>
      <c r="L40" s="5">
        <f>SUMIFS('buy100_low_16'!E7:E20,'buy100_low_16'!D7:D20,"&gt;0")</f>
        <v/>
      </c>
      <c r="M40" s="5">
        <f>SUMIFS('buy100_low_16'!E7:E20,'buy100_low_16'!D7:D20,"=0")</f>
        <v/>
      </c>
      <c r="N40" s="5">
        <f>SUMIFS('buy100_low_16'!E7:E20,'buy100_low_16'!D7:D20,"&gt;"&amp;B40)</f>
        <v/>
      </c>
      <c r="O40" s="5">
        <f>'buy100_low_16'!F22</f>
        <v/>
      </c>
      <c r="P40" s="5">
        <f>SQRT(SUMPRODUCT('buy100_low_16'!E7:E20,('buy100_low_16'!D7:D20-O40)^2))</f>
        <v/>
      </c>
      <c r="Q40" s="5">
        <f>'buy100_low_16'!B25</f>
        <v/>
      </c>
      <c r="R40" s="5">
        <f>'buy100_low_16'!B26</f>
        <v/>
      </c>
      <c r="S40" s="5">
        <f>'buy100_low_16'!B29</f>
        <v/>
      </c>
    </row>
    <row r="41">
      <c r="A41" s="5" t="inlineStr">
        <is>
          <t>buy100_low_8</t>
        </is>
      </c>
      <c r="B41" s="5">
        <f>'buy100_low_8'!$B$3</f>
        <v/>
      </c>
      <c r="C41" s="5" t="n">
        <v>8</v>
      </c>
      <c r="D41" s="5">
        <f>IF(C41="","",C41+1)</f>
        <v/>
      </c>
      <c r="E41" s="5">
        <f>'buy100_low_8'!B22</f>
        <v/>
      </c>
      <c r="F41" s="5">
        <f>'buy100_low_8'!B23</f>
        <v/>
      </c>
      <c r="G41" s="5">
        <f>IF(C41="","N/A",F41=ROUNDUP((C41+1)/2,0))</f>
        <v/>
      </c>
      <c r="H41" s="5">
        <f>'buy100_low_8'!$D$3</f>
        <v/>
      </c>
      <c r="I41" s="5">
        <f>'buy100_low_8'!G17</f>
        <v/>
      </c>
      <c r="J41" s="5">
        <f>ABS(I41-H41)</f>
        <v/>
      </c>
      <c r="K41" s="7">
        <f>'buy100_low_8'!H17</f>
        <v/>
      </c>
      <c r="L41" s="5">
        <f>SUMIFS('buy100_low_8'!E7:E15,'buy100_low_8'!D7:D15,"&gt;0")</f>
        <v/>
      </c>
      <c r="M41" s="5">
        <f>SUMIFS('buy100_low_8'!E7:E15,'buy100_low_8'!D7:D15,"=0")</f>
        <v/>
      </c>
      <c r="N41" s="5">
        <f>SUMIFS('buy100_low_8'!E7:E15,'buy100_low_8'!D7:D15,"&gt;"&amp;B41)</f>
        <v/>
      </c>
      <c r="O41" s="5">
        <f>'buy100_low_8'!F17</f>
        <v/>
      </c>
      <c r="P41" s="5">
        <f>SQRT(SUMPRODUCT('buy100_low_8'!E7:E15,('buy100_low_8'!D7:D15-O41)^2))</f>
        <v/>
      </c>
      <c r="Q41" s="5">
        <f>'buy100_low_8'!B20</f>
        <v/>
      </c>
      <c r="R41" s="5">
        <f>'buy100_low_8'!B21</f>
        <v/>
      </c>
      <c r="S41" s="5">
        <f>'buy100_low_8'!B24</f>
        <v/>
      </c>
    </row>
    <row r="42">
      <c r="A42" s="5" t="inlineStr">
        <is>
          <t>buy100_low_9</t>
        </is>
      </c>
      <c r="B42" s="5">
        <f>'buy100_low_9'!$B$3</f>
        <v/>
      </c>
      <c r="C42" s="5" t="n">
        <v>9</v>
      </c>
      <c r="D42" s="5">
        <f>IF(C42="","",C42+1)</f>
        <v/>
      </c>
      <c r="E42" s="5">
        <f>'buy100_low_9'!B23</f>
        <v/>
      </c>
      <c r="F42" s="5">
        <f>'buy100_low_9'!B24</f>
        <v/>
      </c>
      <c r="G42" s="5">
        <f>IF(C42="","N/A",F42=ROUNDUP((C42+1)/2,0))</f>
        <v/>
      </c>
      <c r="H42" s="5">
        <f>'buy100_low_9'!$D$3</f>
        <v/>
      </c>
      <c r="I42" s="5">
        <f>'buy100_low_9'!G18</f>
        <v/>
      </c>
      <c r="J42" s="5">
        <f>ABS(I42-H42)</f>
        <v/>
      </c>
      <c r="K42" s="7">
        <f>'buy100_low_9'!H18</f>
        <v/>
      </c>
      <c r="L42" s="5">
        <f>SUMIFS('buy100_low_9'!E7:E16,'buy100_low_9'!D7:D16,"&gt;0")</f>
        <v/>
      </c>
      <c r="M42" s="5">
        <f>SUMIFS('buy100_low_9'!E7:E16,'buy100_low_9'!D7:D16,"=0")</f>
        <v/>
      </c>
      <c r="N42" s="5">
        <f>SUMIFS('buy100_low_9'!E7:E16,'buy100_low_9'!D7:D16,"&gt;"&amp;B42)</f>
        <v/>
      </c>
      <c r="O42" s="5">
        <f>'buy100_low_9'!F18</f>
        <v/>
      </c>
      <c r="P42" s="5">
        <f>SQRT(SUMPRODUCT('buy100_low_9'!E7:E16,('buy100_low_9'!D7:D16-O42)^2))</f>
        <v/>
      </c>
      <c r="Q42" s="5">
        <f>'buy100_low_9'!B21</f>
        <v/>
      </c>
      <c r="R42" s="5">
        <f>'buy100_low_9'!B22</f>
        <v/>
      </c>
      <c r="S42" s="5">
        <f>'buy100_low_9'!B25</f>
        <v/>
      </c>
    </row>
    <row r="43">
      <c r="A43" s="5" t="inlineStr">
        <is>
          <t>buy100_medium_10</t>
        </is>
      </c>
      <c r="B43" s="5">
        <f>'buy100_medium_10'!$B$3</f>
        <v/>
      </c>
      <c r="C43" s="5" t="n">
        <v>10</v>
      </c>
      <c r="D43" s="5">
        <f>IF(C43="","",C43+1)</f>
        <v/>
      </c>
      <c r="E43" s="5">
        <f>'buy100_medium_10'!B23</f>
        <v/>
      </c>
      <c r="F43" s="5">
        <f>'buy100_medium_10'!B24</f>
        <v/>
      </c>
      <c r="G43" s="5">
        <f>IF(C43="","N/A",F43=ROUNDUP((C43+1)/2,0))</f>
        <v/>
      </c>
      <c r="H43" s="5">
        <f>'buy100_medium_10'!$D$3</f>
        <v/>
      </c>
      <c r="I43" s="5">
        <f>'buy100_medium_10'!G18</f>
        <v/>
      </c>
      <c r="J43" s="5">
        <f>ABS(I43-H43)</f>
        <v/>
      </c>
      <c r="K43" s="7">
        <f>'buy100_medium_10'!H18</f>
        <v/>
      </c>
      <c r="L43" s="5">
        <f>SUMIFS('buy100_medium_10'!E7:E16,'buy100_medium_10'!D7:D16,"&gt;0")</f>
        <v/>
      </c>
      <c r="M43" s="5">
        <f>SUMIFS('buy100_medium_10'!E7:E16,'buy100_medium_10'!D7:D16,"=0")</f>
        <v/>
      </c>
      <c r="N43" s="5">
        <f>SUMIFS('buy100_medium_10'!E7:E16,'buy100_medium_10'!D7:D16,"&gt;"&amp;B43)</f>
        <v/>
      </c>
      <c r="O43" s="5">
        <f>'buy100_medium_10'!F18</f>
        <v/>
      </c>
      <c r="P43" s="5">
        <f>SQRT(SUMPRODUCT('buy100_medium_10'!E7:E16,('buy100_medium_10'!D7:D16-O43)^2))</f>
        <v/>
      </c>
      <c r="Q43" s="5">
        <f>'buy100_medium_10'!B21</f>
        <v/>
      </c>
      <c r="R43" s="5">
        <f>'buy100_medium_10'!B22</f>
        <v/>
      </c>
      <c r="S43" s="5">
        <f>'buy100_medium_10'!B25</f>
        <v/>
      </c>
    </row>
    <row r="44">
      <c r="A44" s="5" t="inlineStr">
        <is>
          <t>buy100_medium_11</t>
        </is>
      </c>
      <c r="B44" s="5">
        <f>'buy100_medium_11'!$B$3</f>
        <v/>
      </c>
      <c r="C44" s="5" t="n">
        <v>11</v>
      </c>
      <c r="D44" s="5">
        <f>IF(C44="","",C44+1)</f>
        <v/>
      </c>
      <c r="E44" s="5">
        <f>'buy100_medium_11'!B24</f>
        <v/>
      </c>
      <c r="F44" s="5">
        <f>'buy100_medium_11'!B25</f>
        <v/>
      </c>
      <c r="G44" s="5">
        <f>IF(C44="","N/A",F44=ROUNDUP((C44+1)/2,0))</f>
        <v/>
      </c>
      <c r="H44" s="5">
        <f>'buy100_medium_11'!$D$3</f>
        <v/>
      </c>
      <c r="I44" s="5">
        <f>'buy100_medium_11'!G19</f>
        <v/>
      </c>
      <c r="J44" s="5">
        <f>ABS(I44-H44)</f>
        <v/>
      </c>
      <c r="K44" s="7">
        <f>'buy100_medium_11'!H19</f>
        <v/>
      </c>
      <c r="L44" s="5">
        <f>SUMIFS('buy100_medium_11'!E7:E17,'buy100_medium_11'!D7:D17,"&gt;0")</f>
        <v/>
      </c>
      <c r="M44" s="5">
        <f>SUMIFS('buy100_medium_11'!E7:E17,'buy100_medium_11'!D7:D17,"=0")</f>
        <v/>
      </c>
      <c r="N44" s="5">
        <f>SUMIFS('buy100_medium_11'!E7:E17,'buy100_medium_11'!D7:D17,"&gt;"&amp;B44)</f>
        <v/>
      </c>
      <c r="O44" s="5">
        <f>'buy100_medium_11'!F19</f>
        <v/>
      </c>
      <c r="P44" s="5">
        <f>SQRT(SUMPRODUCT('buy100_medium_11'!E7:E17,('buy100_medium_11'!D7:D17-O44)^2))</f>
        <v/>
      </c>
      <c r="Q44" s="5">
        <f>'buy100_medium_11'!B22</f>
        <v/>
      </c>
      <c r="R44" s="5">
        <f>'buy100_medium_11'!B23</f>
        <v/>
      </c>
      <c r="S44" s="5">
        <f>'buy100_medium_11'!B26</f>
        <v/>
      </c>
    </row>
    <row r="45">
      <c r="A45" s="5" t="inlineStr">
        <is>
          <t>buy100_medium_12</t>
        </is>
      </c>
      <c r="B45" s="5">
        <f>'buy100_medium_12'!$B$3</f>
        <v/>
      </c>
      <c r="C45" s="5" t="n">
        <v>12</v>
      </c>
      <c r="D45" s="5">
        <f>IF(C45="","",C45+1)</f>
        <v/>
      </c>
      <c r="E45" s="5">
        <f>'buy100_medium_12'!B25</f>
        <v/>
      </c>
      <c r="F45" s="5">
        <f>'buy100_medium_12'!B26</f>
        <v/>
      </c>
      <c r="G45" s="5">
        <f>IF(C45="","N/A",F45=ROUNDUP((C45+1)/2,0))</f>
        <v/>
      </c>
      <c r="H45" s="5">
        <f>'buy100_medium_12'!$D$3</f>
        <v/>
      </c>
      <c r="I45" s="5">
        <f>'buy100_medium_12'!G20</f>
        <v/>
      </c>
      <c r="J45" s="5">
        <f>ABS(I45-H45)</f>
        <v/>
      </c>
      <c r="K45" s="7">
        <f>'buy100_medium_12'!H20</f>
        <v/>
      </c>
      <c r="L45" s="5">
        <f>SUMIFS('buy100_medium_12'!E7:E18,'buy100_medium_12'!D7:D18,"&gt;0")</f>
        <v/>
      </c>
      <c r="M45" s="5">
        <f>SUMIFS('buy100_medium_12'!E7:E18,'buy100_medium_12'!D7:D18,"=0")</f>
        <v/>
      </c>
      <c r="N45" s="5">
        <f>SUMIFS('buy100_medium_12'!E7:E18,'buy100_medium_12'!D7:D18,"&gt;"&amp;B45)</f>
        <v/>
      </c>
      <c r="O45" s="5">
        <f>'buy100_medium_12'!F20</f>
        <v/>
      </c>
      <c r="P45" s="5">
        <f>SQRT(SUMPRODUCT('buy100_medium_12'!E7:E18,('buy100_medium_12'!D7:D18-O45)^2))</f>
        <v/>
      </c>
      <c r="Q45" s="5">
        <f>'buy100_medium_12'!B23</f>
        <v/>
      </c>
      <c r="R45" s="5">
        <f>'buy100_medium_12'!B24</f>
        <v/>
      </c>
      <c r="S45" s="5">
        <f>'buy100_medium_12'!B27</f>
        <v/>
      </c>
    </row>
    <row r="46">
      <c r="A46" s="5" t="inlineStr">
        <is>
          <t>buy100_medium_13</t>
        </is>
      </c>
      <c r="B46" s="5">
        <f>'buy100_medium_13'!$B$3</f>
        <v/>
      </c>
      <c r="C46" s="5" t="n">
        <v>13</v>
      </c>
      <c r="D46" s="5">
        <f>IF(C46="","",C46+1)</f>
        <v/>
      </c>
      <c r="E46" s="5">
        <f>'buy100_medium_13'!B26</f>
        <v/>
      </c>
      <c r="F46" s="5">
        <f>'buy100_medium_13'!B27</f>
        <v/>
      </c>
      <c r="G46" s="5">
        <f>IF(C46="","N/A",F46=ROUNDUP((C46+1)/2,0))</f>
        <v/>
      </c>
      <c r="H46" s="5">
        <f>'buy100_medium_13'!$D$3</f>
        <v/>
      </c>
      <c r="I46" s="5">
        <f>'buy100_medium_13'!G21</f>
        <v/>
      </c>
      <c r="J46" s="5">
        <f>ABS(I46-H46)</f>
        <v/>
      </c>
      <c r="K46" s="7">
        <f>'buy100_medium_13'!H21</f>
        <v/>
      </c>
      <c r="L46" s="5">
        <f>SUMIFS('buy100_medium_13'!E7:E19,'buy100_medium_13'!D7:D19,"&gt;0")</f>
        <v/>
      </c>
      <c r="M46" s="5">
        <f>SUMIFS('buy100_medium_13'!E7:E19,'buy100_medium_13'!D7:D19,"=0")</f>
        <v/>
      </c>
      <c r="N46" s="5">
        <f>SUMIFS('buy100_medium_13'!E7:E19,'buy100_medium_13'!D7:D19,"&gt;"&amp;B46)</f>
        <v/>
      </c>
      <c r="O46" s="5">
        <f>'buy100_medium_13'!F21</f>
        <v/>
      </c>
      <c r="P46" s="5">
        <f>SQRT(SUMPRODUCT('buy100_medium_13'!E7:E19,('buy100_medium_13'!D7:D19-O46)^2))</f>
        <v/>
      </c>
      <c r="Q46" s="5">
        <f>'buy100_medium_13'!B24</f>
        <v/>
      </c>
      <c r="R46" s="5">
        <f>'buy100_medium_13'!B25</f>
        <v/>
      </c>
      <c r="S46" s="5">
        <f>'buy100_medium_13'!B28</f>
        <v/>
      </c>
    </row>
    <row r="47">
      <c r="A47" s="5" t="inlineStr">
        <is>
          <t>buy100_medium_14</t>
        </is>
      </c>
      <c r="B47" s="5">
        <f>'buy100_medium_14'!$B$3</f>
        <v/>
      </c>
      <c r="C47" s="5" t="n">
        <v>14</v>
      </c>
      <c r="D47" s="5">
        <f>IF(C47="","",C47+1)</f>
        <v/>
      </c>
      <c r="E47" s="5">
        <f>'buy100_medium_14'!B27</f>
        <v/>
      </c>
      <c r="F47" s="5">
        <f>'buy100_medium_14'!B28</f>
        <v/>
      </c>
      <c r="G47" s="5">
        <f>IF(C47="","N/A",F47=ROUNDUP((C47+1)/2,0))</f>
        <v/>
      </c>
      <c r="H47" s="5">
        <f>'buy100_medium_14'!$D$3</f>
        <v/>
      </c>
      <c r="I47" s="5">
        <f>'buy100_medium_14'!G22</f>
        <v/>
      </c>
      <c r="J47" s="5">
        <f>ABS(I47-H47)</f>
        <v/>
      </c>
      <c r="K47" s="7">
        <f>'buy100_medium_14'!H22</f>
        <v/>
      </c>
      <c r="L47" s="5">
        <f>SUMIFS('buy100_medium_14'!E7:E20,'buy100_medium_14'!D7:D20,"&gt;0")</f>
        <v/>
      </c>
      <c r="M47" s="5">
        <f>SUMIFS('buy100_medium_14'!E7:E20,'buy100_medium_14'!D7:D20,"=0")</f>
        <v/>
      </c>
      <c r="N47" s="5">
        <f>SUMIFS('buy100_medium_14'!E7:E20,'buy100_medium_14'!D7:D20,"&gt;"&amp;B47)</f>
        <v/>
      </c>
      <c r="O47" s="5">
        <f>'buy100_medium_14'!F22</f>
        <v/>
      </c>
      <c r="P47" s="5">
        <f>SQRT(SUMPRODUCT('buy100_medium_14'!E7:E20,('buy100_medium_14'!D7:D20-O47)^2))</f>
        <v/>
      </c>
      <c r="Q47" s="5">
        <f>'buy100_medium_14'!B25</f>
        <v/>
      </c>
      <c r="R47" s="5">
        <f>'buy100_medium_14'!B26</f>
        <v/>
      </c>
      <c r="S47" s="5">
        <f>'buy100_medium_14'!B29</f>
        <v/>
      </c>
    </row>
    <row r="48">
      <c r="A48" s="5" t="inlineStr">
        <is>
          <t>buy100_medium_15</t>
        </is>
      </c>
      <c r="B48" s="5">
        <f>'buy100_medium_15'!$B$3</f>
        <v/>
      </c>
      <c r="C48" s="5" t="n">
        <v>15</v>
      </c>
      <c r="D48" s="5">
        <f>IF(C48="","",C48+1)</f>
        <v/>
      </c>
      <c r="E48" s="5">
        <f>'buy100_medium_15'!B28</f>
        <v/>
      </c>
      <c r="F48" s="5">
        <f>'buy100_medium_15'!B29</f>
        <v/>
      </c>
      <c r="G48" s="5">
        <f>IF(C48="","N/A",F48=ROUNDUP((C48+1)/2,0))</f>
        <v/>
      </c>
      <c r="H48" s="5">
        <f>'buy100_medium_15'!$D$3</f>
        <v/>
      </c>
      <c r="I48" s="5">
        <f>'buy100_medium_15'!G23</f>
        <v/>
      </c>
      <c r="J48" s="5">
        <f>ABS(I48-H48)</f>
        <v/>
      </c>
      <c r="K48" s="7">
        <f>'buy100_medium_15'!H23</f>
        <v/>
      </c>
      <c r="L48" s="5">
        <f>SUMIFS('buy100_medium_15'!E7:E21,'buy100_medium_15'!D7:D21,"&gt;0")</f>
        <v/>
      </c>
      <c r="M48" s="5">
        <f>SUMIFS('buy100_medium_15'!E7:E21,'buy100_medium_15'!D7:D21,"=0")</f>
        <v/>
      </c>
      <c r="N48" s="5">
        <f>SUMIFS('buy100_medium_15'!E7:E21,'buy100_medium_15'!D7:D21,"&gt;"&amp;B48)</f>
        <v/>
      </c>
      <c r="O48" s="5">
        <f>'buy100_medium_15'!F23</f>
        <v/>
      </c>
      <c r="P48" s="5">
        <f>SQRT(SUMPRODUCT('buy100_medium_15'!E7:E21,('buy100_medium_15'!D7:D21-O48)^2))</f>
        <v/>
      </c>
      <c r="Q48" s="5">
        <f>'buy100_medium_15'!B26</f>
        <v/>
      </c>
      <c r="R48" s="5">
        <f>'buy100_medium_15'!B27</f>
        <v/>
      </c>
      <c r="S48" s="5">
        <f>'buy100_medium_15'!B30</f>
        <v/>
      </c>
    </row>
    <row r="49">
      <c r="A49" s="5" t="inlineStr">
        <is>
          <t>buy100_medium_16</t>
        </is>
      </c>
      <c r="B49" s="5">
        <f>'buy100_medium_16'!$B$3</f>
        <v/>
      </c>
      <c r="C49" s="5" t="n">
        <v>16</v>
      </c>
      <c r="D49" s="5">
        <f>IF(C49="","",C49+1)</f>
        <v/>
      </c>
      <c r="E49" s="5">
        <f>'buy100_medium_16'!B27</f>
        <v/>
      </c>
      <c r="F49" s="5">
        <f>'buy100_medium_16'!B28</f>
        <v/>
      </c>
      <c r="G49" s="5">
        <f>IF(C49="","N/A",F49=ROUNDUP((C49+1)/2,0))</f>
        <v/>
      </c>
      <c r="H49" s="5">
        <f>'buy100_medium_16'!$D$3</f>
        <v/>
      </c>
      <c r="I49" s="5">
        <f>'buy100_medium_16'!G22</f>
        <v/>
      </c>
      <c r="J49" s="5">
        <f>ABS(I49-H49)</f>
        <v/>
      </c>
      <c r="K49" s="7">
        <f>'buy100_medium_16'!H22</f>
        <v/>
      </c>
      <c r="L49" s="5">
        <f>SUMIFS('buy100_medium_16'!E7:E20,'buy100_medium_16'!D7:D20,"&gt;0")</f>
        <v/>
      </c>
      <c r="M49" s="5">
        <f>SUMIFS('buy100_medium_16'!E7:E20,'buy100_medium_16'!D7:D20,"=0")</f>
        <v/>
      </c>
      <c r="N49" s="5">
        <f>SUMIFS('buy100_medium_16'!E7:E20,'buy100_medium_16'!D7:D20,"&gt;"&amp;B49)</f>
        <v/>
      </c>
      <c r="O49" s="5">
        <f>'buy100_medium_16'!F22</f>
        <v/>
      </c>
      <c r="P49" s="5">
        <f>SQRT(SUMPRODUCT('buy100_medium_16'!E7:E20,('buy100_medium_16'!D7:D20-O49)^2))</f>
        <v/>
      </c>
      <c r="Q49" s="5">
        <f>'buy100_medium_16'!B25</f>
        <v/>
      </c>
      <c r="R49" s="5">
        <f>'buy100_medium_16'!B26</f>
        <v/>
      </c>
      <c r="S49" s="5">
        <f>'buy100_medium_16'!B29</f>
        <v/>
      </c>
    </row>
    <row r="50">
      <c r="A50" s="5" t="inlineStr">
        <is>
          <t>buy100_medium_8</t>
        </is>
      </c>
      <c r="B50" s="5">
        <f>'buy100_medium_8'!$B$3</f>
        <v/>
      </c>
      <c r="C50" s="5" t="n">
        <v>8</v>
      </c>
      <c r="D50" s="5">
        <f>IF(C50="","",C50+1)</f>
        <v/>
      </c>
      <c r="E50" s="5">
        <f>'buy100_medium_8'!B22</f>
        <v/>
      </c>
      <c r="F50" s="5">
        <f>'buy100_medium_8'!B23</f>
        <v/>
      </c>
      <c r="G50" s="5">
        <f>IF(C50="","N/A",F50=ROUNDUP((C50+1)/2,0))</f>
        <v/>
      </c>
      <c r="H50" s="5">
        <f>'buy100_medium_8'!$D$3</f>
        <v/>
      </c>
      <c r="I50" s="5">
        <f>'buy100_medium_8'!G17</f>
        <v/>
      </c>
      <c r="J50" s="5">
        <f>ABS(I50-H50)</f>
        <v/>
      </c>
      <c r="K50" s="7">
        <f>'buy100_medium_8'!H17</f>
        <v/>
      </c>
      <c r="L50" s="5">
        <f>SUMIFS('buy100_medium_8'!E7:E15,'buy100_medium_8'!D7:D15,"&gt;0")</f>
        <v/>
      </c>
      <c r="M50" s="5">
        <f>SUMIFS('buy100_medium_8'!E7:E15,'buy100_medium_8'!D7:D15,"=0")</f>
        <v/>
      </c>
      <c r="N50" s="5">
        <f>SUMIFS('buy100_medium_8'!E7:E15,'buy100_medium_8'!D7:D15,"&gt;"&amp;B50)</f>
        <v/>
      </c>
      <c r="O50" s="5">
        <f>'buy100_medium_8'!F17</f>
        <v/>
      </c>
      <c r="P50" s="5">
        <f>SQRT(SUMPRODUCT('buy100_medium_8'!E7:E15,('buy100_medium_8'!D7:D15-O50)^2))</f>
        <v/>
      </c>
      <c r="Q50" s="5">
        <f>'buy100_medium_8'!B20</f>
        <v/>
      </c>
      <c r="R50" s="5">
        <f>'buy100_medium_8'!B21</f>
        <v/>
      </c>
      <c r="S50" s="5">
        <f>'buy100_medium_8'!B24</f>
        <v/>
      </c>
    </row>
    <row r="51">
      <c r="A51" s="5" t="inlineStr">
        <is>
          <t>buy100_medium_9</t>
        </is>
      </c>
      <c r="B51" s="5">
        <f>'buy100_medium_9'!$B$3</f>
        <v/>
      </c>
      <c r="C51" s="5" t="n">
        <v>9</v>
      </c>
      <c r="D51" s="5">
        <f>IF(C51="","",C51+1)</f>
        <v/>
      </c>
      <c r="E51" s="5">
        <f>'buy100_medium_9'!B23</f>
        <v/>
      </c>
      <c r="F51" s="5">
        <f>'buy100_medium_9'!B24</f>
        <v/>
      </c>
      <c r="G51" s="5">
        <f>IF(C51="","N/A",F51=ROUNDUP((C51+1)/2,0))</f>
        <v/>
      </c>
      <c r="H51" s="5">
        <f>'buy100_medium_9'!$D$3</f>
        <v/>
      </c>
      <c r="I51" s="5">
        <f>'buy100_medium_9'!G18</f>
        <v/>
      </c>
      <c r="J51" s="5">
        <f>ABS(I51-H51)</f>
        <v/>
      </c>
      <c r="K51" s="7">
        <f>'buy100_medium_9'!H18</f>
        <v/>
      </c>
      <c r="L51" s="5">
        <f>SUMIFS('buy100_medium_9'!E7:E16,'buy100_medium_9'!D7:D16,"&gt;0")</f>
        <v/>
      </c>
      <c r="M51" s="5">
        <f>SUMIFS('buy100_medium_9'!E7:E16,'buy100_medium_9'!D7:D16,"=0")</f>
        <v/>
      </c>
      <c r="N51" s="5">
        <f>SUMIFS('buy100_medium_9'!E7:E16,'buy100_medium_9'!D7:D16,"&gt;"&amp;B51)</f>
        <v/>
      </c>
      <c r="O51" s="5">
        <f>'buy100_medium_9'!F18</f>
        <v/>
      </c>
      <c r="P51" s="5">
        <f>SQRT(SUMPRODUCT('buy100_medium_9'!E7:E16,('buy100_medium_9'!D7:D16-O51)^2))</f>
        <v/>
      </c>
      <c r="Q51" s="5">
        <f>'buy100_medium_9'!B21</f>
        <v/>
      </c>
      <c r="R51" s="5">
        <f>'buy100_medium_9'!B22</f>
        <v/>
      </c>
      <c r="S51" s="5">
        <f>'buy100_medium_9'!B25</f>
        <v/>
      </c>
    </row>
    <row r="52">
      <c r="A52" s="5" t="inlineStr">
        <is>
          <t>normal_expert_10</t>
        </is>
      </c>
      <c r="B52" s="5">
        <f>'normal_expert_10'!$B$3</f>
        <v/>
      </c>
      <c r="C52" s="5" t="n">
        <v>10</v>
      </c>
      <c r="D52" s="5">
        <f>IF(C52="","",C52+1)</f>
        <v/>
      </c>
      <c r="E52" s="5">
        <f>'normal_expert_10'!B21</f>
        <v/>
      </c>
      <c r="F52" s="5">
        <f>'normal_expert_10'!B22</f>
        <v/>
      </c>
      <c r="G52" s="5">
        <f>IF(C52="","N/A",F52=ROUNDUP((C52+1)/2,0))</f>
        <v/>
      </c>
      <c r="H52" s="5">
        <f>'normal_expert_10'!$D$3</f>
        <v/>
      </c>
      <c r="I52" s="5">
        <f>'normal_expert_10'!G16</f>
        <v/>
      </c>
      <c r="J52" s="5">
        <f>ABS(I52-H52)</f>
        <v/>
      </c>
      <c r="K52" s="7">
        <f>'normal_expert_10'!H16</f>
        <v/>
      </c>
      <c r="L52" s="5">
        <f>SUMIFS('normal_expert_10'!E7:E14,'normal_expert_10'!D7:D14,"&gt;0")</f>
        <v/>
      </c>
      <c r="M52" s="5">
        <f>SUMIFS('normal_expert_10'!E7:E14,'normal_expert_10'!D7:D14,"=0")</f>
        <v/>
      </c>
      <c r="N52" s="5">
        <f>SUMIFS('normal_expert_10'!E7:E14,'normal_expert_10'!D7:D14,"&gt;"&amp;B52)</f>
        <v/>
      </c>
      <c r="O52" s="5">
        <f>'normal_expert_10'!F16</f>
        <v/>
      </c>
      <c r="P52" s="5">
        <f>SQRT(SUMPRODUCT('normal_expert_10'!E7:E14,('normal_expert_10'!D7:D14-O52)^2))</f>
        <v/>
      </c>
      <c r="Q52" s="5">
        <f>'normal_expert_10'!B19</f>
        <v/>
      </c>
      <c r="R52" s="5">
        <f>'normal_expert_10'!B20</f>
        <v/>
      </c>
      <c r="S52" s="5">
        <f>'normal_expert_10'!B23</f>
        <v/>
      </c>
    </row>
    <row r="53">
      <c r="A53" s="5" t="inlineStr">
        <is>
          <t>normal_expert_11</t>
        </is>
      </c>
      <c r="B53" s="5">
        <f>'normal_expert_11'!$B$3</f>
        <v/>
      </c>
      <c r="C53" s="5" t="n">
        <v>11</v>
      </c>
      <c r="D53" s="5">
        <f>IF(C53="","",C53+1)</f>
        <v/>
      </c>
      <c r="E53" s="5">
        <f>'normal_expert_11'!B22</f>
        <v/>
      </c>
      <c r="F53" s="5">
        <f>'normal_expert_11'!B23</f>
        <v/>
      </c>
      <c r="G53" s="5">
        <f>IF(C53="","N/A",F53=ROUNDUP((C53+1)/2,0))</f>
        <v/>
      </c>
      <c r="H53" s="5">
        <f>'normal_expert_11'!$D$3</f>
        <v/>
      </c>
      <c r="I53" s="5">
        <f>'normal_expert_11'!G17</f>
        <v/>
      </c>
      <c r="J53" s="5">
        <f>ABS(I53-H53)</f>
        <v/>
      </c>
      <c r="K53" s="7">
        <f>'normal_expert_11'!H17</f>
        <v/>
      </c>
      <c r="L53" s="5">
        <f>SUMIFS('normal_expert_11'!E7:E15,'normal_expert_11'!D7:D15,"&gt;0")</f>
        <v/>
      </c>
      <c r="M53" s="5">
        <f>SUMIFS('normal_expert_11'!E7:E15,'normal_expert_11'!D7:D15,"=0")</f>
        <v/>
      </c>
      <c r="N53" s="5">
        <f>SUMIFS('normal_expert_11'!E7:E15,'normal_expert_11'!D7:D15,"&gt;"&amp;B53)</f>
        <v/>
      </c>
      <c r="O53" s="5">
        <f>'normal_expert_11'!F17</f>
        <v/>
      </c>
      <c r="P53" s="5">
        <f>SQRT(SUMPRODUCT('normal_expert_11'!E7:E15,('normal_expert_11'!D7:D15-O53)^2))</f>
        <v/>
      </c>
      <c r="Q53" s="5">
        <f>'normal_expert_11'!B20</f>
        <v/>
      </c>
      <c r="R53" s="5">
        <f>'normal_expert_11'!B21</f>
        <v/>
      </c>
      <c r="S53" s="5">
        <f>'normal_expert_11'!B24</f>
        <v/>
      </c>
    </row>
    <row r="54">
      <c r="A54" s="5" t="inlineStr">
        <is>
          <t>normal_expert_12</t>
        </is>
      </c>
      <c r="B54" s="5">
        <f>'normal_expert_12'!$B$3</f>
        <v/>
      </c>
      <c r="C54" s="5" t="n">
        <v>12</v>
      </c>
      <c r="D54" s="5">
        <f>IF(C54="","",C54+1)</f>
        <v/>
      </c>
      <c r="E54" s="5">
        <f>'normal_expert_12'!B23</f>
        <v/>
      </c>
      <c r="F54" s="5">
        <f>'normal_expert_12'!B24</f>
        <v/>
      </c>
      <c r="G54" s="5">
        <f>IF(C54="","N/A",F54=ROUNDUP((C54+1)/2,0))</f>
        <v/>
      </c>
      <c r="H54" s="5">
        <f>'normal_expert_12'!$D$3</f>
        <v/>
      </c>
      <c r="I54" s="5">
        <f>'normal_expert_12'!G18</f>
        <v/>
      </c>
      <c r="J54" s="5">
        <f>ABS(I54-H54)</f>
        <v/>
      </c>
      <c r="K54" s="7">
        <f>'normal_expert_12'!H18</f>
        <v/>
      </c>
      <c r="L54" s="5">
        <f>SUMIFS('normal_expert_12'!E7:E16,'normal_expert_12'!D7:D16,"&gt;0")</f>
        <v/>
      </c>
      <c r="M54" s="5">
        <f>SUMIFS('normal_expert_12'!E7:E16,'normal_expert_12'!D7:D16,"=0")</f>
        <v/>
      </c>
      <c r="N54" s="5">
        <f>SUMIFS('normal_expert_12'!E7:E16,'normal_expert_12'!D7:D16,"&gt;"&amp;B54)</f>
        <v/>
      </c>
      <c r="O54" s="5">
        <f>'normal_expert_12'!F18</f>
        <v/>
      </c>
      <c r="P54" s="5">
        <f>SQRT(SUMPRODUCT('normal_expert_12'!E7:E16,('normal_expert_12'!D7:D16-O54)^2))</f>
        <v/>
      </c>
      <c r="Q54" s="5">
        <f>'normal_expert_12'!B21</f>
        <v/>
      </c>
      <c r="R54" s="5">
        <f>'normal_expert_12'!B22</f>
        <v/>
      </c>
      <c r="S54" s="5">
        <f>'normal_expert_12'!B25</f>
        <v/>
      </c>
    </row>
    <row r="55">
      <c r="A55" s="5" t="inlineStr">
        <is>
          <t>normal_expert_13</t>
        </is>
      </c>
      <c r="B55" s="5">
        <f>'normal_expert_13'!$B$3</f>
        <v/>
      </c>
      <c r="C55" s="5" t="n">
        <v>13</v>
      </c>
      <c r="D55" s="5">
        <f>IF(C55="","",C55+1)</f>
        <v/>
      </c>
      <c r="E55" s="5">
        <f>'normal_expert_13'!B24</f>
        <v/>
      </c>
      <c r="F55" s="5">
        <f>'normal_expert_13'!B25</f>
        <v/>
      </c>
      <c r="G55" s="5">
        <f>IF(C55="","N/A",F55=ROUNDUP((C55+1)/2,0))</f>
        <v/>
      </c>
      <c r="H55" s="5">
        <f>'normal_expert_13'!$D$3</f>
        <v/>
      </c>
      <c r="I55" s="5">
        <f>'normal_expert_13'!G19</f>
        <v/>
      </c>
      <c r="J55" s="5">
        <f>ABS(I55-H55)</f>
        <v/>
      </c>
      <c r="K55" s="7">
        <f>'normal_expert_13'!H19</f>
        <v/>
      </c>
      <c r="L55" s="5">
        <f>SUMIFS('normal_expert_13'!E7:E17,'normal_expert_13'!D7:D17,"&gt;0")</f>
        <v/>
      </c>
      <c r="M55" s="5">
        <f>SUMIFS('normal_expert_13'!E7:E17,'normal_expert_13'!D7:D17,"=0")</f>
        <v/>
      </c>
      <c r="N55" s="5">
        <f>SUMIFS('normal_expert_13'!E7:E17,'normal_expert_13'!D7:D17,"&gt;"&amp;B55)</f>
        <v/>
      </c>
      <c r="O55" s="5">
        <f>'normal_expert_13'!F19</f>
        <v/>
      </c>
      <c r="P55" s="5">
        <f>SQRT(SUMPRODUCT('normal_expert_13'!E7:E17,('normal_expert_13'!D7:D17-O55)^2))</f>
        <v/>
      </c>
      <c r="Q55" s="5">
        <f>'normal_expert_13'!B22</f>
        <v/>
      </c>
      <c r="R55" s="5">
        <f>'normal_expert_13'!B23</f>
        <v/>
      </c>
      <c r="S55" s="5">
        <f>'normal_expert_13'!B26</f>
        <v/>
      </c>
    </row>
    <row r="56">
      <c r="A56" s="5" t="inlineStr">
        <is>
          <t>normal_expert_14</t>
        </is>
      </c>
      <c r="B56" s="5">
        <f>'normal_expert_14'!$B$3</f>
        <v/>
      </c>
      <c r="C56" s="5" t="n">
        <v>14</v>
      </c>
      <c r="D56" s="5">
        <f>IF(C56="","",C56+1)</f>
        <v/>
      </c>
      <c r="E56" s="5">
        <f>'normal_expert_14'!B25</f>
        <v/>
      </c>
      <c r="F56" s="5">
        <f>'normal_expert_14'!B26</f>
        <v/>
      </c>
      <c r="G56" s="5">
        <f>IF(C56="","N/A",F56=ROUNDUP((C56+1)/2,0))</f>
        <v/>
      </c>
      <c r="H56" s="5">
        <f>'normal_expert_14'!$D$3</f>
        <v/>
      </c>
      <c r="I56" s="5">
        <f>'normal_expert_14'!G20</f>
        <v/>
      </c>
      <c r="J56" s="5">
        <f>ABS(I56-H56)</f>
        <v/>
      </c>
      <c r="K56" s="7">
        <f>'normal_expert_14'!H20</f>
        <v/>
      </c>
      <c r="L56" s="5">
        <f>SUMIFS('normal_expert_14'!E7:E18,'normal_expert_14'!D7:D18,"&gt;0")</f>
        <v/>
      </c>
      <c r="M56" s="5">
        <f>SUMIFS('normal_expert_14'!E7:E18,'normal_expert_14'!D7:D18,"=0")</f>
        <v/>
      </c>
      <c r="N56" s="5">
        <f>SUMIFS('normal_expert_14'!E7:E18,'normal_expert_14'!D7:D18,"&gt;"&amp;B56)</f>
        <v/>
      </c>
      <c r="O56" s="5">
        <f>'normal_expert_14'!F20</f>
        <v/>
      </c>
      <c r="P56" s="5">
        <f>SQRT(SUMPRODUCT('normal_expert_14'!E7:E18,('normal_expert_14'!D7:D18-O56)^2))</f>
        <v/>
      </c>
      <c r="Q56" s="5">
        <f>'normal_expert_14'!B23</f>
        <v/>
      </c>
      <c r="R56" s="5">
        <f>'normal_expert_14'!B24</f>
        <v/>
      </c>
      <c r="S56" s="5">
        <f>'normal_expert_14'!B27</f>
        <v/>
      </c>
    </row>
    <row r="57">
      <c r="A57" s="5" t="inlineStr">
        <is>
          <t>normal_expert_15</t>
        </is>
      </c>
      <c r="B57" s="5">
        <f>'normal_expert_15'!$B$3</f>
        <v/>
      </c>
      <c r="C57" s="5" t="n">
        <v>15</v>
      </c>
      <c r="D57" s="5">
        <f>IF(C57="","",C57+1)</f>
        <v/>
      </c>
      <c r="E57" s="5">
        <f>'normal_expert_15'!B24</f>
        <v/>
      </c>
      <c r="F57" s="5">
        <f>'normal_expert_15'!B25</f>
        <v/>
      </c>
      <c r="G57" s="5">
        <f>IF(C57="","N/A",F57=ROUNDUP((C57+1)/2,0))</f>
        <v/>
      </c>
      <c r="H57" s="5">
        <f>'normal_expert_15'!$D$3</f>
        <v/>
      </c>
      <c r="I57" s="5">
        <f>'normal_expert_15'!G19</f>
        <v/>
      </c>
      <c r="J57" s="5">
        <f>ABS(I57-H57)</f>
        <v/>
      </c>
      <c r="K57" s="7">
        <f>'normal_expert_15'!H19</f>
        <v/>
      </c>
      <c r="L57" s="5">
        <f>SUMIFS('normal_expert_15'!E7:E17,'normal_expert_15'!D7:D17,"&gt;0")</f>
        <v/>
      </c>
      <c r="M57" s="5">
        <f>SUMIFS('normal_expert_15'!E7:E17,'normal_expert_15'!D7:D17,"=0")</f>
        <v/>
      </c>
      <c r="N57" s="5">
        <f>SUMIFS('normal_expert_15'!E7:E17,'normal_expert_15'!D7:D17,"&gt;"&amp;B57)</f>
        <v/>
      </c>
      <c r="O57" s="5">
        <f>'normal_expert_15'!F19</f>
        <v/>
      </c>
      <c r="P57" s="5">
        <f>SQRT(SUMPRODUCT('normal_expert_15'!E7:E17,('normal_expert_15'!D7:D17-O57)^2))</f>
        <v/>
      </c>
      <c r="Q57" s="5">
        <f>'normal_expert_15'!B22</f>
        <v/>
      </c>
      <c r="R57" s="5">
        <f>'normal_expert_15'!B23</f>
        <v/>
      </c>
      <c r="S57" s="5">
        <f>'normal_expert_15'!B26</f>
        <v/>
      </c>
    </row>
    <row r="58">
      <c r="A58" s="5" t="inlineStr">
        <is>
          <t>normal_expert_16</t>
        </is>
      </c>
      <c r="B58" s="5">
        <f>'normal_expert_16'!$B$3</f>
        <v/>
      </c>
      <c r="C58" s="5" t="n">
        <v>16</v>
      </c>
      <c r="D58" s="5">
        <f>IF(C58="","",C58+1)</f>
        <v/>
      </c>
      <c r="E58" s="5">
        <f>'normal_expert_16'!B25</f>
        <v/>
      </c>
      <c r="F58" s="5">
        <f>'normal_expert_16'!B26</f>
        <v/>
      </c>
      <c r="G58" s="5">
        <f>IF(C58="","N/A",F58=ROUNDUP((C58+1)/2,0))</f>
        <v/>
      </c>
      <c r="H58" s="5">
        <f>'normal_expert_16'!$D$3</f>
        <v/>
      </c>
      <c r="I58" s="5">
        <f>'normal_expert_16'!G20</f>
        <v/>
      </c>
      <c r="J58" s="5">
        <f>ABS(I58-H58)</f>
        <v/>
      </c>
      <c r="K58" s="7">
        <f>'normal_expert_16'!H20</f>
        <v/>
      </c>
      <c r="L58" s="5">
        <f>SUMIFS('normal_expert_16'!E7:E18,'normal_expert_16'!D7:D18,"&gt;0")</f>
        <v/>
      </c>
      <c r="M58" s="5">
        <f>SUMIFS('normal_expert_16'!E7:E18,'normal_expert_16'!D7:D18,"=0")</f>
        <v/>
      </c>
      <c r="N58" s="5">
        <f>SUMIFS('normal_expert_16'!E7:E18,'normal_expert_16'!D7:D18,"&gt;"&amp;B58)</f>
        <v/>
      </c>
      <c r="O58" s="5">
        <f>'normal_expert_16'!F20</f>
        <v/>
      </c>
      <c r="P58" s="5">
        <f>SQRT(SUMPRODUCT('normal_expert_16'!E7:E18,('normal_expert_16'!D7:D18-O58)^2))</f>
        <v/>
      </c>
      <c r="Q58" s="5">
        <f>'normal_expert_16'!B23</f>
        <v/>
      </c>
      <c r="R58" s="5">
        <f>'normal_expert_16'!B24</f>
        <v/>
      </c>
      <c r="S58" s="5">
        <f>'normal_expert_16'!B27</f>
        <v/>
      </c>
    </row>
    <row r="59">
      <c r="A59" s="5" t="inlineStr">
        <is>
          <t>normal_expert_8</t>
        </is>
      </c>
      <c r="B59" s="5">
        <f>'normal_expert_8'!$B$3</f>
        <v/>
      </c>
      <c r="C59" s="5" t="n">
        <v>8</v>
      </c>
      <c r="D59" s="5">
        <f>IF(C59="","",C59+1)</f>
        <v/>
      </c>
      <c r="E59" s="5">
        <f>'normal_expert_8'!B21</f>
        <v/>
      </c>
      <c r="F59" s="5">
        <f>'normal_expert_8'!B22</f>
        <v/>
      </c>
      <c r="G59" s="5">
        <f>IF(C59="","N/A",F59=ROUNDUP((C59+1)/2,0))</f>
        <v/>
      </c>
      <c r="H59" s="5">
        <f>'normal_expert_8'!$D$3</f>
        <v/>
      </c>
      <c r="I59" s="5">
        <f>'normal_expert_8'!G16</f>
        <v/>
      </c>
      <c r="J59" s="5">
        <f>ABS(I59-H59)</f>
        <v/>
      </c>
      <c r="K59" s="7">
        <f>'normal_expert_8'!H16</f>
        <v/>
      </c>
      <c r="L59" s="5">
        <f>SUMIFS('normal_expert_8'!E7:E14,'normal_expert_8'!D7:D14,"&gt;0")</f>
        <v/>
      </c>
      <c r="M59" s="5">
        <f>SUMIFS('normal_expert_8'!E7:E14,'normal_expert_8'!D7:D14,"=0")</f>
        <v/>
      </c>
      <c r="N59" s="5">
        <f>SUMIFS('normal_expert_8'!E7:E14,'normal_expert_8'!D7:D14,"&gt;"&amp;B59)</f>
        <v/>
      </c>
      <c r="O59" s="5">
        <f>'normal_expert_8'!F16</f>
        <v/>
      </c>
      <c r="P59" s="5">
        <f>SQRT(SUMPRODUCT('normal_expert_8'!E7:E14,('normal_expert_8'!D7:D14-O59)^2))</f>
        <v/>
      </c>
      <c r="Q59" s="5">
        <f>'normal_expert_8'!B19</f>
        <v/>
      </c>
      <c r="R59" s="5">
        <f>'normal_expert_8'!B20</f>
        <v/>
      </c>
      <c r="S59" s="5">
        <f>'normal_expert_8'!B23</f>
        <v/>
      </c>
    </row>
    <row r="60">
      <c r="A60" s="5" t="inlineStr">
        <is>
          <t>normal_expert_9</t>
        </is>
      </c>
      <c r="B60" s="5">
        <f>'normal_expert_9'!$B$3</f>
        <v/>
      </c>
      <c r="C60" s="5" t="n">
        <v>9</v>
      </c>
      <c r="D60" s="5">
        <f>IF(C60="","",C60+1)</f>
        <v/>
      </c>
      <c r="E60" s="5">
        <f>'normal_expert_9'!B22</f>
        <v/>
      </c>
      <c r="F60" s="5">
        <f>'normal_expert_9'!B23</f>
        <v/>
      </c>
      <c r="G60" s="5">
        <f>IF(C60="","N/A",F60=ROUNDUP((C60+1)/2,0))</f>
        <v/>
      </c>
      <c r="H60" s="5">
        <f>'normal_expert_9'!$D$3</f>
        <v/>
      </c>
      <c r="I60" s="5">
        <f>'normal_expert_9'!G17</f>
        <v/>
      </c>
      <c r="J60" s="5">
        <f>ABS(I60-H60)</f>
        <v/>
      </c>
      <c r="K60" s="7">
        <f>'normal_expert_9'!H17</f>
        <v/>
      </c>
      <c r="L60" s="5">
        <f>SUMIFS('normal_expert_9'!E7:E15,'normal_expert_9'!D7:D15,"&gt;0")</f>
        <v/>
      </c>
      <c r="M60" s="5">
        <f>SUMIFS('normal_expert_9'!E7:E15,'normal_expert_9'!D7:D15,"=0")</f>
        <v/>
      </c>
      <c r="N60" s="5">
        <f>SUMIFS('normal_expert_9'!E7:E15,'normal_expert_9'!D7:D15,"&gt;"&amp;B60)</f>
        <v/>
      </c>
      <c r="O60" s="5">
        <f>'normal_expert_9'!F17</f>
        <v/>
      </c>
      <c r="P60" s="5">
        <f>SQRT(SUMPRODUCT('normal_expert_9'!E7:E15,('normal_expert_9'!D7:D15-O60)^2))</f>
        <v/>
      </c>
      <c r="Q60" s="5">
        <f>'normal_expert_9'!B20</f>
        <v/>
      </c>
      <c r="R60" s="5">
        <f>'normal_expert_9'!B21</f>
        <v/>
      </c>
      <c r="S60" s="5">
        <f>'normal_expert_9'!B24</f>
        <v/>
      </c>
    </row>
    <row r="61">
      <c r="A61" s="5" t="inlineStr">
        <is>
          <t>normal_high_10</t>
        </is>
      </c>
      <c r="B61" s="5">
        <f>'normal_high_10'!$B$3</f>
        <v/>
      </c>
      <c r="C61" s="5" t="n">
        <v>10</v>
      </c>
      <c r="D61" s="5">
        <f>IF(C61="","",C61+1)</f>
        <v/>
      </c>
      <c r="E61" s="5">
        <f>'normal_high_10'!B23</f>
        <v/>
      </c>
      <c r="F61" s="5">
        <f>'normal_high_10'!B24</f>
        <v/>
      </c>
      <c r="G61" s="5">
        <f>IF(C61="","N/A",F61=ROUNDUP((C61+1)/2,0))</f>
        <v/>
      </c>
      <c r="H61" s="5">
        <f>'normal_high_10'!$D$3</f>
        <v/>
      </c>
      <c r="I61" s="5">
        <f>'normal_high_10'!G18</f>
        <v/>
      </c>
      <c r="J61" s="5">
        <f>ABS(I61-H61)</f>
        <v/>
      </c>
      <c r="K61" s="7">
        <f>'normal_high_10'!H18</f>
        <v/>
      </c>
      <c r="L61" s="5">
        <f>SUMIFS('normal_high_10'!E7:E16,'normal_high_10'!D7:D16,"&gt;0")</f>
        <v/>
      </c>
      <c r="M61" s="5">
        <f>SUMIFS('normal_high_10'!E7:E16,'normal_high_10'!D7:D16,"=0")</f>
        <v/>
      </c>
      <c r="N61" s="5">
        <f>SUMIFS('normal_high_10'!E7:E16,'normal_high_10'!D7:D16,"&gt;"&amp;B61)</f>
        <v/>
      </c>
      <c r="O61" s="5">
        <f>'normal_high_10'!F18</f>
        <v/>
      </c>
      <c r="P61" s="5">
        <f>SQRT(SUMPRODUCT('normal_high_10'!E7:E16,('normal_high_10'!D7:D16-O61)^2))</f>
        <v/>
      </c>
      <c r="Q61" s="5">
        <f>'normal_high_10'!B21</f>
        <v/>
      </c>
      <c r="R61" s="5">
        <f>'normal_high_10'!B22</f>
        <v/>
      </c>
      <c r="S61" s="5">
        <f>'normal_high_10'!B25</f>
        <v/>
      </c>
    </row>
    <row r="62">
      <c r="A62" s="5" t="inlineStr">
        <is>
          <t>normal_high_11</t>
        </is>
      </c>
      <c r="B62" s="5">
        <f>'normal_high_11'!$B$3</f>
        <v/>
      </c>
      <c r="C62" s="5" t="n">
        <v>11</v>
      </c>
      <c r="D62" s="5">
        <f>IF(C62="","",C62+1)</f>
        <v/>
      </c>
      <c r="E62" s="5">
        <f>'normal_high_11'!B24</f>
        <v/>
      </c>
      <c r="F62" s="5">
        <f>'normal_high_11'!B25</f>
        <v/>
      </c>
      <c r="G62" s="5">
        <f>IF(C62="","N/A",F62=ROUNDUP((C62+1)/2,0))</f>
        <v/>
      </c>
      <c r="H62" s="5">
        <f>'normal_high_11'!$D$3</f>
        <v/>
      </c>
      <c r="I62" s="5">
        <f>'normal_high_11'!G19</f>
        <v/>
      </c>
      <c r="J62" s="5">
        <f>ABS(I62-H62)</f>
        <v/>
      </c>
      <c r="K62" s="7">
        <f>'normal_high_11'!H19</f>
        <v/>
      </c>
      <c r="L62" s="5">
        <f>SUMIFS('normal_high_11'!E7:E17,'normal_high_11'!D7:D17,"&gt;0")</f>
        <v/>
      </c>
      <c r="M62" s="5">
        <f>SUMIFS('normal_high_11'!E7:E17,'normal_high_11'!D7:D17,"=0")</f>
        <v/>
      </c>
      <c r="N62" s="5">
        <f>SUMIFS('normal_high_11'!E7:E17,'normal_high_11'!D7:D17,"&gt;"&amp;B62)</f>
        <v/>
      </c>
      <c r="O62" s="5">
        <f>'normal_high_11'!F19</f>
        <v/>
      </c>
      <c r="P62" s="5">
        <f>SQRT(SUMPRODUCT('normal_high_11'!E7:E17,('normal_high_11'!D7:D17-O62)^2))</f>
        <v/>
      </c>
      <c r="Q62" s="5">
        <f>'normal_high_11'!B22</f>
        <v/>
      </c>
      <c r="R62" s="5">
        <f>'normal_high_11'!B23</f>
        <v/>
      </c>
      <c r="S62" s="5">
        <f>'normal_high_11'!B26</f>
        <v/>
      </c>
    </row>
    <row r="63">
      <c r="A63" s="5" t="inlineStr">
        <is>
          <t>normal_high_12</t>
        </is>
      </c>
      <c r="B63" s="5">
        <f>'normal_high_12'!$B$3</f>
        <v/>
      </c>
      <c r="C63" s="5" t="n">
        <v>12</v>
      </c>
      <c r="D63" s="5">
        <f>IF(C63="","",C63+1)</f>
        <v/>
      </c>
      <c r="E63" s="5">
        <f>'normal_high_12'!B25</f>
        <v/>
      </c>
      <c r="F63" s="5">
        <f>'normal_high_12'!B26</f>
        <v/>
      </c>
      <c r="G63" s="5">
        <f>IF(C63="","N/A",F63=ROUNDUP((C63+1)/2,0))</f>
        <v/>
      </c>
      <c r="H63" s="5">
        <f>'normal_high_12'!$D$3</f>
        <v/>
      </c>
      <c r="I63" s="5">
        <f>'normal_high_12'!G20</f>
        <v/>
      </c>
      <c r="J63" s="5">
        <f>ABS(I63-H63)</f>
        <v/>
      </c>
      <c r="K63" s="7">
        <f>'normal_high_12'!H20</f>
        <v/>
      </c>
      <c r="L63" s="5">
        <f>SUMIFS('normal_high_12'!E7:E18,'normal_high_12'!D7:D18,"&gt;0")</f>
        <v/>
      </c>
      <c r="M63" s="5">
        <f>SUMIFS('normal_high_12'!E7:E18,'normal_high_12'!D7:D18,"=0")</f>
        <v/>
      </c>
      <c r="N63" s="5">
        <f>SUMIFS('normal_high_12'!E7:E18,'normal_high_12'!D7:D18,"&gt;"&amp;B63)</f>
        <v/>
      </c>
      <c r="O63" s="5">
        <f>'normal_high_12'!F20</f>
        <v/>
      </c>
      <c r="P63" s="5">
        <f>SQRT(SUMPRODUCT('normal_high_12'!E7:E18,('normal_high_12'!D7:D18-O63)^2))</f>
        <v/>
      </c>
      <c r="Q63" s="5">
        <f>'normal_high_12'!B23</f>
        <v/>
      </c>
      <c r="R63" s="5">
        <f>'normal_high_12'!B24</f>
        <v/>
      </c>
      <c r="S63" s="5">
        <f>'normal_high_12'!B27</f>
        <v/>
      </c>
    </row>
    <row r="64">
      <c r="A64" s="5" t="inlineStr">
        <is>
          <t>normal_high_13</t>
        </is>
      </c>
      <c r="B64" s="5">
        <f>'normal_high_13'!$B$3</f>
        <v/>
      </c>
      <c r="C64" s="5" t="n">
        <v>13</v>
      </c>
      <c r="D64" s="5">
        <f>IF(C64="","",C64+1)</f>
        <v/>
      </c>
      <c r="E64" s="5">
        <f>'normal_high_13'!B26</f>
        <v/>
      </c>
      <c r="F64" s="5">
        <f>'normal_high_13'!B27</f>
        <v/>
      </c>
      <c r="G64" s="5">
        <f>IF(C64="","N/A",F64=ROUNDUP((C64+1)/2,0))</f>
        <v/>
      </c>
      <c r="H64" s="5">
        <f>'normal_high_13'!$D$3</f>
        <v/>
      </c>
      <c r="I64" s="5">
        <f>'normal_high_13'!G21</f>
        <v/>
      </c>
      <c r="J64" s="5">
        <f>ABS(I64-H64)</f>
        <v/>
      </c>
      <c r="K64" s="7">
        <f>'normal_high_13'!H21</f>
        <v/>
      </c>
      <c r="L64" s="5">
        <f>SUMIFS('normal_high_13'!E7:E19,'normal_high_13'!D7:D19,"&gt;0")</f>
        <v/>
      </c>
      <c r="M64" s="5">
        <f>SUMIFS('normal_high_13'!E7:E19,'normal_high_13'!D7:D19,"=0")</f>
        <v/>
      </c>
      <c r="N64" s="5">
        <f>SUMIFS('normal_high_13'!E7:E19,'normal_high_13'!D7:D19,"&gt;"&amp;B64)</f>
        <v/>
      </c>
      <c r="O64" s="5">
        <f>'normal_high_13'!F21</f>
        <v/>
      </c>
      <c r="P64" s="5">
        <f>SQRT(SUMPRODUCT('normal_high_13'!E7:E19,('normal_high_13'!D7:D19-O64)^2))</f>
        <v/>
      </c>
      <c r="Q64" s="5">
        <f>'normal_high_13'!B24</f>
        <v/>
      </c>
      <c r="R64" s="5">
        <f>'normal_high_13'!B25</f>
        <v/>
      </c>
      <c r="S64" s="5">
        <f>'normal_high_13'!B28</f>
        <v/>
      </c>
    </row>
    <row r="65">
      <c r="A65" s="5" t="inlineStr">
        <is>
          <t>normal_high_14</t>
        </is>
      </c>
      <c r="B65" s="5">
        <f>'normal_high_14'!$B$3</f>
        <v/>
      </c>
      <c r="C65" s="5" t="n">
        <v>14</v>
      </c>
      <c r="D65" s="5">
        <f>IF(C65="","",C65+1)</f>
        <v/>
      </c>
      <c r="E65" s="5">
        <f>'normal_high_14'!B25</f>
        <v/>
      </c>
      <c r="F65" s="5">
        <f>'normal_high_14'!B26</f>
        <v/>
      </c>
      <c r="G65" s="5">
        <f>IF(C65="","N/A",F65=ROUNDUP((C65+1)/2,0))</f>
        <v/>
      </c>
      <c r="H65" s="5">
        <f>'normal_high_14'!$D$3</f>
        <v/>
      </c>
      <c r="I65" s="5">
        <f>'normal_high_14'!G20</f>
        <v/>
      </c>
      <c r="J65" s="5">
        <f>ABS(I65-H65)</f>
        <v/>
      </c>
      <c r="K65" s="7">
        <f>'normal_high_14'!H20</f>
        <v/>
      </c>
      <c r="L65" s="5">
        <f>SUMIFS('normal_high_14'!E7:E18,'normal_high_14'!D7:D18,"&gt;0")</f>
        <v/>
      </c>
      <c r="M65" s="5">
        <f>SUMIFS('normal_high_14'!E7:E18,'normal_high_14'!D7:D18,"=0")</f>
        <v/>
      </c>
      <c r="N65" s="5">
        <f>SUMIFS('normal_high_14'!E7:E18,'normal_high_14'!D7:D18,"&gt;"&amp;B65)</f>
        <v/>
      </c>
      <c r="O65" s="5">
        <f>'normal_high_14'!F20</f>
        <v/>
      </c>
      <c r="P65" s="5">
        <f>SQRT(SUMPRODUCT('normal_high_14'!E7:E18,('normal_high_14'!D7:D18-O65)^2))</f>
        <v/>
      </c>
      <c r="Q65" s="5">
        <f>'normal_high_14'!B23</f>
        <v/>
      </c>
      <c r="R65" s="5">
        <f>'normal_high_14'!B24</f>
        <v/>
      </c>
      <c r="S65" s="5">
        <f>'normal_high_14'!B27</f>
        <v/>
      </c>
    </row>
    <row r="66">
      <c r="A66" s="5" t="inlineStr">
        <is>
          <t>normal_high_15</t>
        </is>
      </c>
      <c r="B66" s="5">
        <f>'normal_high_15'!$B$3</f>
        <v/>
      </c>
      <c r="C66" s="5" t="n">
        <v>15</v>
      </c>
      <c r="D66" s="5">
        <f>IF(C66="","",C66+1)</f>
        <v/>
      </c>
      <c r="E66" s="5">
        <f>'normal_high_15'!B26</f>
        <v/>
      </c>
      <c r="F66" s="5">
        <f>'normal_high_15'!B27</f>
        <v/>
      </c>
      <c r="G66" s="5">
        <f>IF(C66="","N/A",F66=ROUNDUP((C66+1)/2,0))</f>
        <v/>
      </c>
      <c r="H66" s="5">
        <f>'normal_high_15'!$D$3</f>
        <v/>
      </c>
      <c r="I66" s="5">
        <f>'normal_high_15'!G21</f>
        <v/>
      </c>
      <c r="J66" s="5">
        <f>ABS(I66-H66)</f>
        <v/>
      </c>
      <c r="K66" s="7">
        <f>'normal_high_15'!H21</f>
        <v/>
      </c>
      <c r="L66" s="5">
        <f>SUMIFS('normal_high_15'!E7:E19,'normal_high_15'!D7:D19,"&gt;0")</f>
        <v/>
      </c>
      <c r="M66" s="5">
        <f>SUMIFS('normal_high_15'!E7:E19,'normal_high_15'!D7:D19,"=0")</f>
        <v/>
      </c>
      <c r="N66" s="5">
        <f>SUMIFS('normal_high_15'!E7:E19,'normal_high_15'!D7:D19,"&gt;"&amp;B66)</f>
        <v/>
      </c>
      <c r="O66" s="5">
        <f>'normal_high_15'!F21</f>
        <v/>
      </c>
      <c r="P66" s="5">
        <f>SQRT(SUMPRODUCT('normal_high_15'!E7:E19,('normal_high_15'!D7:D19-O66)^2))</f>
        <v/>
      </c>
      <c r="Q66" s="5">
        <f>'normal_high_15'!B24</f>
        <v/>
      </c>
      <c r="R66" s="5">
        <f>'normal_high_15'!B25</f>
        <v/>
      </c>
      <c r="S66" s="5">
        <f>'normal_high_15'!B28</f>
        <v/>
      </c>
    </row>
    <row r="67">
      <c r="A67" s="5" t="inlineStr">
        <is>
          <t>normal_high_16</t>
        </is>
      </c>
      <c r="B67" s="5">
        <f>'normal_high_16'!$B$3</f>
        <v/>
      </c>
      <c r="C67" s="5" t="n">
        <v>16</v>
      </c>
      <c r="D67" s="5">
        <f>IF(C67="","",C67+1)</f>
        <v/>
      </c>
      <c r="E67" s="5">
        <f>'normal_high_16'!B27</f>
        <v/>
      </c>
      <c r="F67" s="5">
        <f>'normal_high_16'!B28</f>
        <v/>
      </c>
      <c r="G67" s="5">
        <f>IF(C67="","N/A",F67=ROUNDUP((C67+1)/2,0))</f>
        <v/>
      </c>
      <c r="H67" s="5">
        <f>'normal_high_16'!$D$3</f>
        <v/>
      </c>
      <c r="I67" s="5">
        <f>'normal_high_16'!G22</f>
        <v/>
      </c>
      <c r="J67" s="5">
        <f>ABS(I67-H67)</f>
        <v/>
      </c>
      <c r="K67" s="7">
        <f>'normal_high_16'!H22</f>
        <v/>
      </c>
      <c r="L67" s="5">
        <f>SUMIFS('normal_high_16'!E7:E20,'normal_high_16'!D7:D20,"&gt;0")</f>
        <v/>
      </c>
      <c r="M67" s="5">
        <f>SUMIFS('normal_high_16'!E7:E20,'normal_high_16'!D7:D20,"=0")</f>
        <v/>
      </c>
      <c r="N67" s="5">
        <f>SUMIFS('normal_high_16'!E7:E20,'normal_high_16'!D7:D20,"&gt;"&amp;B67)</f>
        <v/>
      </c>
      <c r="O67" s="5">
        <f>'normal_high_16'!F22</f>
        <v/>
      </c>
      <c r="P67" s="5">
        <f>SQRT(SUMPRODUCT('normal_high_16'!E7:E20,('normal_high_16'!D7:D20-O67)^2))</f>
        <v/>
      </c>
      <c r="Q67" s="5">
        <f>'normal_high_16'!B25</f>
        <v/>
      </c>
      <c r="R67" s="5">
        <f>'normal_high_16'!B26</f>
        <v/>
      </c>
      <c r="S67" s="5">
        <f>'normal_high_16'!B29</f>
        <v/>
      </c>
    </row>
    <row r="68">
      <c r="A68" s="5" t="inlineStr">
        <is>
          <t>normal_high_8</t>
        </is>
      </c>
      <c r="B68" s="5">
        <f>'normal_high_8'!$B$3</f>
        <v/>
      </c>
      <c r="C68" s="5" t="n">
        <v>8</v>
      </c>
      <c r="D68" s="5">
        <f>IF(C68="","",C68+1)</f>
        <v/>
      </c>
      <c r="E68" s="5">
        <f>'normal_high_8'!B22</f>
        <v/>
      </c>
      <c r="F68" s="5">
        <f>'normal_high_8'!B23</f>
        <v/>
      </c>
      <c r="G68" s="5">
        <f>IF(C68="","N/A",F68=ROUNDUP((C68+1)/2,0))</f>
        <v/>
      </c>
      <c r="H68" s="5">
        <f>'normal_high_8'!$D$3</f>
        <v/>
      </c>
      <c r="I68" s="5">
        <f>'normal_high_8'!G17</f>
        <v/>
      </c>
      <c r="J68" s="5">
        <f>ABS(I68-H68)</f>
        <v/>
      </c>
      <c r="K68" s="7">
        <f>'normal_high_8'!H17</f>
        <v/>
      </c>
      <c r="L68" s="5">
        <f>SUMIFS('normal_high_8'!E7:E15,'normal_high_8'!D7:D15,"&gt;0")</f>
        <v/>
      </c>
      <c r="M68" s="5">
        <f>SUMIFS('normal_high_8'!E7:E15,'normal_high_8'!D7:D15,"=0")</f>
        <v/>
      </c>
      <c r="N68" s="5">
        <f>SUMIFS('normal_high_8'!E7:E15,'normal_high_8'!D7:D15,"&gt;"&amp;B68)</f>
        <v/>
      </c>
      <c r="O68" s="5">
        <f>'normal_high_8'!F17</f>
        <v/>
      </c>
      <c r="P68" s="5">
        <f>SQRT(SUMPRODUCT('normal_high_8'!E7:E15,('normal_high_8'!D7:D15-O68)^2))</f>
        <v/>
      </c>
      <c r="Q68" s="5">
        <f>'normal_high_8'!B20</f>
        <v/>
      </c>
      <c r="R68" s="5">
        <f>'normal_high_8'!B21</f>
        <v/>
      </c>
      <c r="S68" s="5">
        <f>'normal_high_8'!B24</f>
        <v/>
      </c>
    </row>
    <row r="69">
      <c r="A69" s="5" t="inlineStr">
        <is>
          <t>normal_high_9</t>
        </is>
      </c>
      <c r="B69" s="5">
        <f>'normal_high_9'!$B$3</f>
        <v/>
      </c>
      <c r="C69" s="5" t="n">
        <v>9</v>
      </c>
      <c r="D69" s="5">
        <f>IF(C69="","",C69+1)</f>
        <v/>
      </c>
      <c r="E69" s="5">
        <f>'normal_high_9'!B22</f>
        <v/>
      </c>
      <c r="F69" s="5">
        <f>'normal_high_9'!B23</f>
        <v/>
      </c>
      <c r="G69" s="5">
        <f>IF(C69="","N/A",F69=ROUNDUP((C69+1)/2,0))</f>
        <v/>
      </c>
      <c r="H69" s="5">
        <f>'normal_high_9'!$D$3</f>
        <v/>
      </c>
      <c r="I69" s="5">
        <f>'normal_high_9'!G17</f>
        <v/>
      </c>
      <c r="J69" s="5">
        <f>ABS(I69-H69)</f>
        <v/>
      </c>
      <c r="K69" s="7">
        <f>'normal_high_9'!H17</f>
        <v/>
      </c>
      <c r="L69" s="5">
        <f>SUMIFS('normal_high_9'!E7:E15,'normal_high_9'!D7:D15,"&gt;0")</f>
        <v/>
      </c>
      <c r="M69" s="5">
        <f>SUMIFS('normal_high_9'!E7:E15,'normal_high_9'!D7:D15,"=0")</f>
        <v/>
      </c>
      <c r="N69" s="5">
        <f>SUMIFS('normal_high_9'!E7:E15,'normal_high_9'!D7:D15,"&gt;"&amp;B69)</f>
        <v/>
      </c>
      <c r="O69" s="5">
        <f>'normal_high_9'!F17</f>
        <v/>
      </c>
      <c r="P69" s="5">
        <f>SQRT(SUMPRODUCT('normal_high_9'!E7:E15,('normal_high_9'!D7:D15-O69)^2))</f>
        <v/>
      </c>
      <c r="Q69" s="5">
        <f>'normal_high_9'!B20</f>
        <v/>
      </c>
      <c r="R69" s="5">
        <f>'normal_high_9'!B21</f>
        <v/>
      </c>
      <c r="S69" s="5">
        <f>'normal_high_9'!B24</f>
        <v/>
      </c>
    </row>
    <row r="70">
      <c r="A70" s="5" t="inlineStr">
        <is>
          <t>normal_low_10</t>
        </is>
      </c>
      <c r="B70" s="5">
        <f>'normal_low_10'!$B$3</f>
        <v/>
      </c>
      <c r="C70" s="5" t="n">
        <v>10</v>
      </c>
      <c r="D70" s="5">
        <f>IF(C70="","",C70+1)</f>
        <v/>
      </c>
      <c r="E70" s="5">
        <f>'normal_low_10'!B24</f>
        <v/>
      </c>
      <c r="F70" s="5">
        <f>'normal_low_10'!B25</f>
        <v/>
      </c>
      <c r="G70" s="5">
        <f>IF(C70="","N/A",F70=ROUNDUP((C70+1)/2,0))</f>
        <v/>
      </c>
      <c r="H70" s="5">
        <f>'normal_low_10'!$D$3</f>
        <v/>
      </c>
      <c r="I70" s="5">
        <f>'normal_low_10'!G19</f>
        <v/>
      </c>
      <c r="J70" s="5">
        <f>ABS(I70-H70)</f>
        <v/>
      </c>
      <c r="K70" s="7">
        <f>'normal_low_10'!H19</f>
        <v/>
      </c>
      <c r="L70" s="5">
        <f>SUMIFS('normal_low_10'!E7:E17,'normal_low_10'!D7:D17,"&gt;0")</f>
        <v/>
      </c>
      <c r="M70" s="5">
        <f>SUMIFS('normal_low_10'!E7:E17,'normal_low_10'!D7:D17,"=0")</f>
        <v/>
      </c>
      <c r="N70" s="5">
        <f>SUMIFS('normal_low_10'!E7:E17,'normal_low_10'!D7:D17,"&gt;"&amp;B70)</f>
        <v/>
      </c>
      <c r="O70" s="5">
        <f>'normal_low_10'!F19</f>
        <v/>
      </c>
      <c r="P70" s="5">
        <f>SQRT(SUMPRODUCT('normal_low_10'!E7:E17,('normal_low_10'!D7:D17-O70)^2))</f>
        <v/>
      </c>
      <c r="Q70" s="5">
        <f>'normal_low_10'!B22</f>
        <v/>
      </c>
      <c r="R70" s="5">
        <f>'normal_low_10'!B23</f>
        <v/>
      </c>
      <c r="S70" s="5">
        <f>'normal_low_10'!B26</f>
        <v/>
      </c>
    </row>
    <row r="71">
      <c r="A71" s="5" t="inlineStr">
        <is>
          <t>normal_low_11</t>
        </is>
      </c>
      <c r="B71" s="5">
        <f>'normal_low_11'!$B$3</f>
        <v/>
      </c>
      <c r="C71" s="5" t="n">
        <v>11</v>
      </c>
      <c r="D71" s="5">
        <f>IF(C71="","",C71+1)</f>
        <v/>
      </c>
      <c r="E71" s="5">
        <f>'normal_low_11'!B24</f>
        <v/>
      </c>
      <c r="F71" s="5">
        <f>'normal_low_11'!B25</f>
        <v/>
      </c>
      <c r="G71" s="5">
        <f>IF(C71="","N/A",F71=ROUNDUP((C71+1)/2,0))</f>
        <v/>
      </c>
      <c r="H71" s="5">
        <f>'normal_low_11'!$D$3</f>
        <v/>
      </c>
      <c r="I71" s="5">
        <f>'normal_low_11'!G19</f>
        <v/>
      </c>
      <c r="J71" s="5">
        <f>ABS(I71-H71)</f>
        <v/>
      </c>
      <c r="K71" s="7">
        <f>'normal_low_11'!H19</f>
        <v/>
      </c>
      <c r="L71" s="5">
        <f>SUMIFS('normal_low_11'!E7:E17,'normal_low_11'!D7:D17,"&gt;0")</f>
        <v/>
      </c>
      <c r="M71" s="5">
        <f>SUMIFS('normal_low_11'!E7:E17,'normal_low_11'!D7:D17,"=0")</f>
        <v/>
      </c>
      <c r="N71" s="5">
        <f>SUMIFS('normal_low_11'!E7:E17,'normal_low_11'!D7:D17,"&gt;"&amp;B71)</f>
        <v/>
      </c>
      <c r="O71" s="5">
        <f>'normal_low_11'!F19</f>
        <v/>
      </c>
      <c r="P71" s="5">
        <f>SQRT(SUMPRODUCT('normal_low_11'!E7:E17,('normal_low_11'!D7:D17-O71)^2))</f>
        <v/>
      </c>
      <c r="Q71" s="5">
        <f>'normal_low_11'!B22</f>
        <v/>
      </c>
      <c r="R71" s="5">
        <f>'normal_low_11'!B23</f>
        <v/>
      </c>
      <c r="S71" s="5">
        <f>'normal_low_11'!B26</f>
        <v/>
      </c>
    </row>
    <row r="72">
      <c r="A72" s="5" t="inlineStr">
        <is>
          <t>normal_low_12</t>
        </is>
      </c>
      <c r="B72" s="5">
        <f>'normal_low_12'!$B$3</f>
        <v/>
      </c>
      <c r="C72" s="5" t="n">
        <v>12</v>
      </c>
      <c r="D72" s="5">
        <f>IF(C72="","",C72+1)</f>
        <v/>
      </c>
      <c r="E72" s="5">
        <f>'normal_low_12'!B25</f>
        <v/>
      </c>
      <c r="F72" s="5">
        <f>'normal_low_12'!B26</f>
        <v/>
      </c>
      <c r="G72" s="5">
        <f>IF(C72="","N/A",F72=ROUNDUP((C72+1)/2,0))</f>
        <v/>
      </c>
      <c r="H72" s="5">
        <f>'normal_low_12'!$D$3</f>
        <v/>
      </c>
      <c r="I72" s="5">
        <f>'normal_low_12'!G20</f>
        <v/>
      </c>
      <c r="J72" s="5">
        <f>ABS(I72-H72)</f>
        <v/>
      </c>
      <c r="K72" s="7">
        <f>'normal_low_12'!H20</f>
        <v/>
      </c>
      <c r="L72" s="5">
        <f>SUMIFS('normal_low_12'!E7:E18,'normal_low_12'!D7:D18,"&gt;0")</f>
        <v/>
      </c>
      <c r="M72" s="5">
        <f>SUMIFS('normal_low_12'!E7:E18,'normal_low_12'!D7:D18,"=0")</f>
        <v/>
      </c>
      <c r="N72" s="5">
        <f>SUMIFS('normal_low_12'!E7:E18,'normal_low_12'!D7:D18,"&gt;"&amp;B72)</f>
        <v/>
      </c>
      <c r="O72" s="5">
        <f>'normal_low_12'!F20</f>
        <v/>
      </c>
      <c r="P72" s="5">
        <f>SQRT(SUMPRODUCT('normal_low_12'!E7:E18,('normal_low_12'!D7:D18-O72)^2))</f>
        <v/>
      </c>
      <c r="Q72" s="5">
        <f>'normal_low_12'!B23</f>
        <v/>
      </c>
      <c r="R72" s="5">
        <f>'normal_low_12'!B24</f>
        <v/>
      </c>
      <c r="S72" s="5">
        <f>'normal_low_12'!B27</f>
        <v/>
      </c>
    </row>
    <row r="73">
      <c r="A73" s="5" t="inlineStr">
        <is>
          <t>normal_low_13</t>
        </is>
      </c>
      <c r="B73" s="5">
        <f>'normal_low_13'!$B$3</f>
        <v/>
      </c>
      <c r="C73" s="5" t="n">
        <v>13</v>
      </c>
      <c r="D73" s="5">
        <f>IF(C73="","",C73+1)</f>
        <v/>
      </c>
      <c r="E73" s="5">
        <f>'normal_low_13'!B27</f>
        <v/>
      </c>
      <c r="F73" s="5">
        <f>'normal_low_13'!B28</f>
        <v/>
      </c>
      <c r="G73" s="5">
        <f>IF(C73="","N/A",F73=ROUNDUP((C73+1)/2,0))</f>
        <v/>
      </c>
      <c r="H73" s="5">
        <f>'normal_low_13'!$D$3</f>
        <v/>
      </c>
      <c r="I73" s="5">
        <f>'normal_low_13'!G22</f>
        <v/>
      </c>
      <c r="J73" s="5">
        <f>ABS(I73-H73)</f>
        <v/>
      </c>
      <c r="K73" s="7">
        <f>'normal_low_13'!H22</f>
        <v/>
      </c>
      <c r="L73" s="5">
        <f>SUMIFS('normal_low_13'!E7:E20,'normal_low_13'!D7:D20,"&gt;0")</f>
        <v/>
      </c>
      <c r="M73" s="5">
        <f>SUMIFS('normal_low_13'!E7:E20,'normal_low_13'!D7:D20,"=0")</f>
        <v/>
      </c>
      <c r="N73" s="5">
        <f>SUMIFS('normal_low_13'!E7:E20,'normal_low_13'!D7:D20,"&gt;"&amp;B73)</f>
        <v/>
      </c>
      <c r="O73" s="5">
        <f>'normal_low_13'!F22</f>
        <v/>
      </c>
      <c r="P73" s="5">
        <f>SQRT(SUMPRODUCT('normal_low_13'!E7:E20,('normal_low_13'!D7:D20-O73)^2))</f>
        <v/>
      </c>
      <c r="Q73" s="5">
        <f>'normal_low_13'!B25</f>
        <v/>
      </c>
      <c r="R73" s="5">
        <f>'normal_low_13'!B26</f>
        <v/>
      </c>
      <c r="S73" s="5">
        <f>'normal_low_13'!B29</f>
        <v/>
      </c>
    </row>
    <row r="74">
      <c r="A74" s="5" t="inlineStr">
        <is>
          <t>normal_low_14</t>
        </is>
      </c>
      <c r="B74" s="5">
        <f>'normal_low_14'!$B$3</f>
        <v/>
      </c>
      <c r="C74" s="5" t="n">
        <v>14</v>
      </c>
      <c r="D74" s="5">
        <f>IF(C74="","",C74+1)</f>
        <v/>
      </c>
      <c r="E74" s="5">
        <f>'normal_low_14'!B27</f>
        <v/>
      </c>
      <c r="F74" s="5">
        <f>'normal_low_14'!B28</f>
        <v/>
      </c>
      <c r="G74" s="5">
        <f>IF(C74="","N/A",F74=ROUNDUP((C74+1)/2,0))</f>
        <v/>
      </c>
      <c r="H74" s="5">
        <f>'normal_low_14'!$D$3</f>
        <v/>
      </c>
      <c r="I74" s="5">
        <f>'normal_low_14'!G22</f>
        <v/>
      </c>
      <c r="J74" s="5">
        <f>ABS(I74-H74)</f>
        <v/>
      </c>
      <c r="K74" s="7">
        <f>'normal_low_14'!H22</f>
        <v/>
      </c>
      <c r="L74" s="5">
        <f>SUMIFS('normal_low_14'!E7:E20,'normal_low_14'!D7:D20,"&gt;0")</f>
        <v/>
      </c>
      <c r="M74" s="5">
        <f>SUMIFS('normal_low_14'!E7:E20,'normal_low_14'!D7:D20,"=0")</f>
        <v/>
      </c>
      <c r="N74" s="5">
        <f>SUMIFS('normal_low_14'!E7:E20,'normal_low_14'!D7:D20,"&gt;"&amp;B74)</f>
        <v/>
      </c>
      <c r="O74" s="5">
        <f>'normal_low_14'!F22</f>
        <v/>
      </c>
      <c r="P74" s="5">
        <f>SQRT(SUMPRODUCT('normal_low_14'!E7:E20,('normal_low_14'!D7:D20-O74)^2))</f>
        <v/>
      </c>
      <c r="Q74" s="5">
        <f>'normal_low_14'!B25</f>
        <v/>
      </c>
      <c r="R74" s="5">
        <f>'normal_low_14'!B26</f>
        <v/>
      </c>
      <c r="S74" s="5">
        <f>'normal_low_14'!B29</f>
        <v/>
      </c>
    </row>
    <row r="75">
      <c r="A75" s="5" t="inlineStr">
        <is>
          <t>normal_low_15</t>
        </is>
      </c>
      <c r="B75" s="5">
        <f>'normal_low_15'!$B$3</f>
        <v/>
      </c>
      <c r="C75" s="5" t="n">
        <v>15</v>
      </c>
      <c r="D75" s="5">
        <f>IF(C75="","",C75+1)</f>
        <v/>
      </c>
      <c r="E75" s="5">
        <f>'normal_low_15'!B26</f>
        <v/>
      </c>
      <c r="F75" s="5">
        <f>'normal_low_15'!B27</f>
        <v/>
      </c>
      <c r="G75" s="5">
        <f>IF(C75="","N/A",F75=ROUNDUP((C75+1)/2,0))</f>
        <v/>
      </c>
      <c r="H75" s="5">
        <f>'normal_low_15'!$D$3</f>
        <v/>
      </c>
      <c r="I75" s="5">
        <f>'normal_low_15'!G21</f>
        <v/>
      </c>
      <c r="J75" s="5">
        <f>ABS(I75-H75)</f>
        <v/>
      </c>
      <c r="K75" s="7">
        <f>'normal_low_15'!H21</f>
        <v/>
      </c>
      <c r="L75" s="5">
        <f>SUMIFS('normal_low_15'!E7:E19,'normal_low_15'!D7:D19,"&gt;0")</f>
        <v/>
      </c>
      <c r="M75" s="5">
        <f>SUMIFS('normal_low_15'!E7:E19,'normal_low_15'!D7:D19,"=0")</f>
        <v/>
      </c>
      <c r="N75" s="5">
        <f>SUMIFS('normal_low_15'!E7:E19,'normal_low_15'!D7:D19,"&gt;"&amp;B75)</f>
        <v/>
      </c>
      <c r="O75" s="5">
        <f>'normal_low_15'!F21</f>
        <v/>
      </c>
      <c r="P75" s="5">
        <f>SQRT(SUMPRODUCT('normal_low_15'!E7:E19,('normal_low_15'!D7:D19-O75)^2))</f>
        <v/>
      </c>
      <c r="Q75" s="5">
        <f>'normal_low_15'!B24</f>
        <v/>
      </c>
      <c r="R75" s="5">
        <f>'normal_low_15'!B25</f>
        <v/>
      </c>
      <c r="S75" s="5">
        <f>'normal_low_15'!B28</f>
        <v/>
      </c>
    </row>
    <row r="76">
      <c r="A76" s="5" t="inlineStr">
        <is>
          <t>normal_low_16</t>
        </is>
      </c>
      <c r="B76" s="5">
        <f>'normal_low_16'!$B$3</f>
        <v/>
      </c>
      <c r="C76" s="5" t="n">
        <v>16</v>
      </c>
      <c r="D76" s="5">
        <f>IF(C76="","",C76+1)</f>
        <v/>
      </c>
      <c r="E76" s="5">
        <f>'normal_low_16'!B27</f>
        <v/>
      </c>
      <c r="F76" s="5">
        <f>'normal_low_16'!B28</f>
        <v/>
      </c>
      <c r="G76" s="5">
        <f>IF(C76="","N/A",F76=ROUNDUP((C76+1)/2,0))</f>
        <v/>
      </c>
      <c r="H76" s="5">
        <f>'normal_low_16'!$D$3</f>
        <v/>
      </c>
      <c r="I76" s="5">
        <f>'normal_low_16'!G22</f>
        <v/>
      </c>
      <c r="J76" s="5">
        <f>ABS(I76-H76)</f>
        <v/>
      </c>
      <c r="K76" s="7">
        <f>'normal_low_16'!H22</f>
        <v/>
      </c>
      <c r="L76" s="5">
        <f>SUMIFS('normal_low_16'!E7:E20,'normal_low_16'!D7:D20,"&gt;0")</f>
        <v/>
      </c>
      <c r="M76" s="5">
        <f>SUMIFS('normal_low_16'!E7:E20,'normal_low_16'!D7:D20,"=0")</f>
        <v/>
      </c>
      <c r="N76" s="5">
        <f>SUMIFS('normal_low_16'!E7:E20,'normal_low_16'!D7:D20,"&gt;"&amp;B76)</f>
        <v/>
      </c>
      <c r="O76" s="5">
        <f>'normal_low_16'!F22</f>
        <v/>
      </c>
      <c r="P76" s="5">
        <f>SQRT(SUMPRODUCT('normal_low_16'!E7:E20,('normal_low_16'!D7:D20-O76)^2))</f>
        <v/>
      </c>
      <c r="Q76" s="5">
        <f>'normal_low_16'!B25</f>
        <v/>
      </c>
      <c r="R76" s="5">
        <f>'normal_low_16'!B26</f>
        <v/>
      </c>
      <c r="S76" s="5">
        <f>'normal_low_16'!B29</f>
        <v/>
      </c>
    </row>
    <row r="77">
      <c r="A77" s="5" t="inlineStr">
        <is>
          <t>normal_low_8</t>
        </is>
      </c>
      <c r="B77" s="5">
        <f>'normal_low_8'!$B$3</f>
        <v/>
      </c>
      <c r="C77" s="5" t="n">
        <v>8</v>
      </c>
      <c r="D77" s="5">
        <f>IF(C77="","",C77+1)</f>
        <v/>
      </c>
      <c r="E77" s="5">
        <f>'normal_low_8'!B22</f>
        <v/>
      </c>
      <c r="F77" s="5">
        <f>'normal_low_8'!B23</f>
        <v/>
      </c>
      <c r="G77" s="5">
        <f>IF(C77="","N/A",F77=ROUNDUP((C77+1)/2,0))</f>
        <v/>
      </c>
      <c r="H77" s="5">
        <f>'normal_low_8'!$D$3</f>
        <v/>
      </c>
      <c r="I77" s="5">
        <f>'normal_low_8'!G17</f>
        <v/>
      </c>
      <c r="J77" s="5">
        <f>ABS(I77-H77)</f>
        <v/>
      </c>
      <c r="K77" s="7">
        <f>'normal_low_8'!H17</f>
        <v/>
      </c>
      <c r="L77" s="5">
        <f>SUMIFS('normal_low_8'!E7:E15,'normal_low_8'!D7:D15,"&gt;0")</f>
        <v/>
      </c>
      <c r="M77" s="5">
        <f>SUMIFS('normal_low_8'!E7:E15,'normal_low_8'!D7:D15,"=0")</f>
        <v/>
      </c>
      <c r="N77" s="5">
        <f>SUMIFS('normal_low_8'!E7:E15,'normal_low_8'!D7:D15,"&gt;"&amp;B77)</f>
        <v/>
      </c>
      <c r="O77" s="5">
        <f>'normal_low_8'!F17</f>
        <v/>
      </c>
      <c r="P77" s="5">
        <f>SQRT(SUMPRODUCT('normal_low_8'!E7:E15,('normal_low_8'!D7:D15-O77)^2))</f>
        <v/>
      </c>
      <c r="Q77" s="5">
        <f>'normal_low_8'!B20</f>
        <v/>
      </c>
      <c r="R77" s="5">
        <f>'normal_low_8'!B21</f>
        <v/>
      </c>
      <c r="S77" s="5">
        <f>'normal_low_8'!B24</f>
        <v/>
      </c>
    </row>
    <row r="78">
      <c r="A78" s="5" t="inlineStr">
        <is>
          <t>normal_low_9</t>
        </is>
      </c>
      <c r="B78" s="5">
        <f>'normal_low_9'!$B$3</f>
        <v/>
      </c>
      <c r="C78" s="5" t="n">
        <v>9</v>
      </c>
      <c r="D78" s="5">
        <f>IF(C78="","",C78+1)</f>
        <v/>
      </c>
      <c r="E78" s="5">
        <f>'normal_low_9'!B23</f>
        <v/>
      </c>
      <c r="F78" s="5">
        <f>'normal_low_9'!B24</f>
        <v/>
      </c>
      <c r="G78" s="5">
        <f>IF(C78="","N/A",F78=ROUNDUP((C78+1)/2,0))</f>
        <v/>
      </c>
      <c r="H78" s="5">
        <f>'normal_low_9'!$D$3</f>
        <v/>
      </c>
      <c r="I78" s="5">
        <f>'normal_low_9'!G18</f>
        <v/>
      </c>
      <c r="J78" s="5">
        <f>ABS(I78-H78)</f>
        <v/>
      </c>
      <c r="K78" s="7">
        <f>'normal_low_9'!H18</f>
        <v/>
      </c>
      <c r="L78" s="5">
        <f>SUMIFS('normal_low_9'!E7:E16,'normal_low_9'!D7:D16,"&gt;0")</f>
        <v/>
      </c>
      <c r="M78" s="5">
        <f>SUMIFS('normal_low_9'!E7:E16,'normal_low_9'!D7:D16,"=0")</f>
        <v/>
      </c>
      <c r="N78" s="5">
        <f>SUMIFS('normal_low_9'!E7:E16,'normal_low_9'!D7:D16,"&gt;"&amp;B78)</f>
        <v/>
      </c>
      <c r="O78" s="5">
        <f>'normal_low_9'!F18</f>
        <v/>
      </c>
      <c r="P78" s="5">
        <f>SQRT(SUMPRODUCT('normal_low_9'!E7:E16,('normal_low_9'!D7:D16-O78)^2))</f>
        <v/>
      </c>
      <c r="Q78" s="5">
        <f>'normal_low_9'!B21</f>
        <v/>
      </c>
      <c r="R78" s="5">
        <f>'normal_low_9'!B22</f>
        <v/>
      </c>
      <c r="S78" s="5">
        <f>'normal_low_9'!B25</f>
        <v/>
      </c>
    </row>
    <row r="79">
      <c r="A79" s="5" t="inlineStr">
        <is>
          <t>normal_medium_10</t>
        </is>
      </c>
      <c r="B79" s="5">
        <f>'normal_medium_10'!$B$3</f>
        <v/>
      </c>
      <c r="C79" s="5" t="n">
        <v>10</v>
      </c>
      <c r="D79" s="5">
        <f>IF(C79="","",C79+1)</f>
        <v/>
      </c>
      <c r="E79" s="5">
        <f>'normal_medium_10'!B23</f>
        <v/>
      </c>
      <c r="F79" s="5">
        <f>'normal_medium_10'!B24</f>
        <v/>
      </c>
      <c r="G79" s="5">
        <f>IF(C79="","N/A",F79=ROUNDUP((C79+1)/2,0))</f>
        <v/>
      </c>
      <c r="H79" s="5">
        <f>'normal_medium_10'!$D$3</f>
        <v/>
      </c>
      <c r="I79" s="5">
        <f>'normal_medium_10'!G18</f>
        <v/>
      </c>
      <c r="J79" s="5">
        <f>ABS(I79-H79)</f>
        <v/>
      </c>
      <c r="K79" s="7">
        <f>'normal_medium_10'!H18</f>
        <v/>
      </c>
      <c r="L79" s="5">
        <f>SUMIFS('normal_medium_10'!E7:E16,'normal_medium_10'!D7:D16,"&gt;0")</f>
        <v/>
      </c>
      <c r="M79" s="5">
        <f>SUMIFS('normal_medium_10'!E7:E16,'normal_medium_10'!D7:D16,"=0")</f>
        <v/>
      </c>
      <c r="N79" s="5">
        <f>SUMIFS('normal_medium_10'!E7:E16,'normal_medium_10'!D7:D16,"&gt;"&amp;B79)</f>
        <v/>
      </c>
      <c r="O79" s="5">
        <f>'normal_medium_10'!F18</f>
        <v/>
      </c>
      <c r="P79" s="5">
        <f>SQRT(SUMPRODUCT('normal_medium_10'!E7:E16,('normal_medium_10'!D7:D16-O79)^2))</f>
        <v/>
      </c>
      <c r="Q79" s="5">
        <f>'normal_medium_10'!B21</f>
        <v/>
      </c>
      <c r="R79" s="5">
        <f>'normal_medium_10'!B22</f>
        <v/>
      </c>
      <c r="S79" s="5">
        <f>'normal_medium_10'!B25</f>
        <v/>
      </c>
    </row>
    <row r="80">
      <c r="A80" s="5" t="inlineStr">
        <is>
          <t>normal_medium_11</t>
        </is>
      </c>
      <c r="B80" s="5">
        <f>'normal_medium_11'!$B$3</f>
        <v/>
      </c>
      <c r="C80" s="5" t="n">
        <v>11</v>
      </c>
      <c r="D80" s="5">
        <f>IF(C80="","",C80+1)</f>
        <v/>
      </c>
      <c r="E80" s="5">
        <f>'normal_medium_11'!B24</f>
        <v/>
      </c>
      <c r="F80" s="5">
        <f>'normal_medium_11'!B25</f>
        <v/>
      </c>
      <c r="G80" s="5">
        <f>IF(C80="","N/A",F80=ROUNDUP((C80+1)/2,0))</f>
        <v/>
      </c>
      <c r="H80" s="5">
        <f>'normal_medium_11'!$D$3</f>
        <v/>
      </c>
      <c r="I80" s="5">
        <f>'normal_medium_11'!G19</f>
        <v/>
      </c>
      <c r="J80" s="5">
        <f>ABS(I80-H80)</f>
        <v/>
      </c>
      <c r="K80" s="7">
        <f>'normal_medium_11'!H19</f>
        <v/>
      </c>
      <c r="L80" s="5">
        <f>SUMIFS('normal_medium_11'!E7:E17,'normal_medium_11'!D7:D17,"&gt;0")</f>
        <v/>
      </c>
      <c r="M80" s="5">
        <f>SUMIFS('normal_medium_11'!E7:E17,'normal_medium_11'!D7:D17,"=0")</f>
        <v/>
      </c>
      <c r="N80" s="5">
        <f>SUMIFS('normal_medium_11'!E7:E17,'normal_medium_11'!D7:D17,"&gt;"&amp;B80)</f>
        <v/>
      </c>
      <c r="O80" s="5">
        <f>'normal_medium_11'!F19</f>
        <v/>
      </c>
      <c r="P80" s="5">
        <f>SQRT(SUMPRODUCT('normal_medium_11'!E7:E17,('normal_medium_11'!D7:D17-O80)^2))</f>
        <v/>
      </c>
      <c r="Q80" s="5">
        <f>'normal_medium_11'!B22</f>
        <v/>
      </c>
      <c r="R80" s="5">
        <f>'normal_medium_11'!B23</f>
        <v/>
      </c>
      <c r="S80" s="5">
        <f>'normal_medium_11'!B26</f>
        <v/>
      </c>
    </row>
    <row r="81">
      <c r="A81" s="5" t="inlineStr">
        <is>
          <t>normal_medium_12</t>
        </is>
      </c>
      <c r="B81" s="5">
        <f>'normal_medium_12'!$B$3</f>
        <v/>
      </c>
      <c r="C81" s="5" t="n">
        <v>12</v>
      </c>
      <c r="D81" s="5">
        <f>IF(C81="","",C81+1)</f>
        <v/>
      </c>
      <c r="E81" s="5">
        <f>'normal_medium_12'!B25</f>
        <v/>
      </c>
      <c r="F81" s="5">
        <f>'normal_medium_12'!B26</f>
        <v/>
      </c>
      <c r="G81" s="5">
        <f>IF(C81="","N/A",F81=ROUNDUP((C81+1)/2,0))</f>
        <v/>
      </c>
      <c r="H81" s="5">
        <f>'normal_medium_12'!$D$3</f>
        <v/>
      </c>
      <c r="I81" s="5">
        <f>'normal_medium_12'!G20</f>
        <v/>
      </c>
      <c r="J81" s="5">
        <f>ABS(I81-H81)</f>
        <v/>
      </c>
      <c r="K81" s="7">
        <f>'normal_medium_12'!H20</f>
        <v/>
      </c>
      <c r="L81" s="5">
        <f>SUMIFS('normal_medium_12'!E7:E18,'normal_medium_12'!D7:D18,"&gt;0")</f>
        <v/>
      </c>
      <c r="M81" s="5">
        <f>SUMIFS('normal_medium_12'!E7:E18,'normal_medium_12'!D7:D18,"=0")</f>
        <v/>
      </c>
      <c r="N81" s="5">
        <f>SUMIFS('normal_medium_12'!E7:E18,'normal_medium_12'!D7:D18,"&gt;"&amp;B81)</f>
        <v/>
      </c>
      <c r="O81" s="5">
        <f>'normal_medium_12'!F20</f>
        <v/>
      </c>
      <c r="P81" s="5">
        <f>SQRT(SUMPRODUCT('normal_medium_12'!E7:E18,('normal_medium_12'!D7:D18-O81)^2))</f>
        <v/>
      </c>
      <c r="Q81" s="5">
        <f>'normal_medium_12'!B23</f>
        <v/>
      </c>
      <c r="R81" s="5">
        <f>'normal_medium_12'!B24</f>
        <v/>
      </c>
      <c r="S81" s="5">
        <f>'normal_medium_12'!B27</f>
        <v/>
      </c>
    </row>
    <row r="82">
      <c r="A82" s="5" t="inlineStr">
        <is>
          <t>normal_medium_13</t>
        </is>
      </c>
      <c r="B82" s="5">
        <f>'normal_medium_13'!$B$3</f>
        <v/>
      </c>
      <c r="C82" s="5" t="n">
        <v>13</v>
      </c>
      <c r="D82" s="5">
        <f>IF(C82="","",C82+1)</f>
        <v/>
      </c>
      <c r="E82" s="5">
        <f>'normal_medium_13'!B26</f>
        <v/>
      </c>
      <c r="F82" s="5">
        <f>'normal_medium_13'!B27</f>
        <v/>
      </c>
      <c r="G82" s="5">
        <f>IF(C82="","N/A",F82=ROUNDUP((C82+1)/2,0))</f>
        <v/>
      </c>
      <c r="H82" s="5">
        <f>'normal_medium_13'!$D$3</f>
        <v/>
      </c>
      <c r="I82" s="5">
        <f>'normal_medium_13'!G21</f>
        <v/>
      </c>
      <c r="J82" s="5">
        <f>ABS(I82-H82)</f>
        <v/>
      </c>
      <c r="K82" s="7">
        <f>'normal_medium_13'!H21</f>
        <v/>
      </c>
      <c r="L82" s="5">
        <f>SUMIFS('normal_medium_13'!E7:E19,'normal_medium_13'!D7:D19,"&gt;0")</f>
        <v/>
      </c>
      <c r="M82" s="5">
        <f>SUMIFS('normal_medium_13'!E7:E19,'normal_medium_13'!D7:D19,"=0")</f>
        <v/>
      </c>
      <c r="N82" s="5">
        <f>SUMIFS('normal_medium_13'!E7:E19,'normal_medium_13'!D7:D19,"&gt;"&amp;B82)</f>
        <v/>
      </c>
      <c r="O82" s="5">
        <f>'normal_medium_13'!F21</f>
        <v/>
      </c>
      <c r="P82" s="5">
        <f>SQRT(SUMPRODUCT('normal_medium_13'!E7:E19,('normal_medium_13'!D7:D19-O82)^2))</f>
        <v/>
      </c>
      <c r="Q82" s="5">
        <f>'normal_medium_13'!B24</f>
        <v/>
      </c>
      <c r="R82" s="5">
        <f>'normal_medium_13'!B25</f>
        <v/>
      </c>
      <c r="S82" s="5">
        <f>'normal_medium_13'!B28</f>
        <v/>
      </c>
    </row>
    <row r="83">
      <c r="A83" s="5" t="inlineStr">
        <is>
          <t>normal_medium_14</t>
        </is>
      </c>
      <c r="B83" s="5">
        <f>'normal_medium_14'!$B$3</f>
        <v/>
      </c>
      <c r="C83" s="5" t="n">
        <v>14</v>
      </c>
      <c r="D83" s="5">
        <f>IF(C83="","",C83+1)</f>
        <v/>
      </c>
      <c r="E83" s="5">
        <f>'normal_medium_14'!B27</f>
        <v/>
      </c>
      <c r="F83" s="5">
        <f>'normal_medium_14'!B28</f>
        <v/>
      </c>
      <c r="G83" s="5">
        <f>IF(C83="","N/A",F83=ROUNDUP((C83+1)/2,0))</f>
        <v/>
      </c>
      <c r="H83" s="5">
        <f>'normal_medium_14'!$D$3</f>
        <v/>
      </c>
      <c r="I83" s="5">
        <f>'normal_medium_14'!G22</f>
        <v/>
      </c>
      <c r="J83" s="5">
        <f>ABS(I83-H83)</f>
        <v/>
      </c>
      <c r="K83" s="7">
        <f>'normal_medium_14'!H22</f>
        <v/>
      </c>
      <c r="L83" s="5">
        <f>SUMIFS('normal_medium_14'!E7:E20,'normal_medium_14'!D7:D20,"&gt;0")</f>
        <v/>
      </c>
      <c r="M83" s="5">
        <f>SUMIFS('normal_medium_14'!E7:E20,'normal_medium_14'!D7:D20,"=0")</f>
        <v/>
      </c>
      <c r="N83" s="5">
        <f>SUMIFS('normal_medium_14'!E7:E20,'normal_medium_14'!D7:D20,"&gt;"&amp;B83)</f>
        <v/>
      </c>
      <c r="O83" s="5">
        <f>'normal_medium_14'!F22</f>
        <v/>
      </c>
      <c r="P83" s="5">
        <f>SQRT(SUMPRODUCT('normal_medium_14'!E7:E20,('normal_medium_14'!D7:D20-O83)^2))</f>
        <v/>
      </c>
      <c r="Q83" s="5">
        <f>'normal_medium_14'!B25</f>
        <v/>
      </c>
      <c r="R83" s="5">
        <f>'normal_medium_14'!B26</f>
        <v/>
      </c>
      <c r="S83" s="5">
        <f>'normal_medium_14'!B29</f>
        <v/>
      </c>
    </row>
    <row r="84">
      <c r="A84" s="5" t="inlineStr">
        <is>
          <t>normal_medium_15</t>
        </is>
      </c>
      <c r="B84" s="5">
        <f>'normal_medium_15'!$B$3</f>
        <v/>
      </c>
      <c r="C84" s="5" t="n">
        <v>15</v>
      </c>
      <c r="D84" s="5">
        <f>IF(C84="","",C84+1)</f>
        <v/>
      </c>
      <c r="E84" s="5">
        <f>'normal_medium_15'!B28</f>
        <v/>
      </c>
      <c r="F84" s="5">
        <f>'normal_medium_15'!B29</f>
        <v/>
      </c>
      <c r="G84" s="5">
        <f>IF(C84="","N/A",F84=ROUNDUP((C84+1)/2,0))</f>
        <v/>
      </c>
      <c r="H84" s="5">
        <f>'normal_medium_15'!$D$3</f>
        <v/>
      </c>
      <c r="I84" s="5">
        <f>'normal_medium_15'!G23</f>
        <v/>
      </c>
      <c r="J84" s="5">
        <f>ABS(I84-H84)</f>
        <v/>
      </c>
      <c r="K84" s="7">
        <f>'normal_medium_15'!H23</f>
        <v/>
      </c>
      <c r="L84" s="5">
        <f>SUMIFS('normal_medium_15'!E7:E21,'normal_medium_15'!D7:D21,"&gt;0")</f>
        <v/>
      </c>
      <c r="M84" s="5">
        <f>SUMIFS('normal_medium_15'!E7:E21,'normal_medium_15'!D7:D21,"=0")</f>
        <v/>
      </c>
      <c r="N84" s="5">
        <f>SUMIFS('normal_medium_15'!E7:E21,'normal_medium_15'!D7:D21,"&gt;"&amp;B84)</f>
        <v/>
      </c>
      <c r="O84" s="5">
        <f>'normal_medium_15'!F23</f>
        <v/>
      </c>
      <c r="P84" s="5">
        <f>SQRT(SUMPRODUCT('normal_medium_15'!E7:E21,('normal_medium_15'!D7:D21-O84)^2))</f>
        <v/>
      </c>
      <c r="Q84" s="5">
        <f>'normal_medium_15'!B26</f>
        <v/>
      </c>
      <c r="R84" s="5">
        <f>'normal_medium_15'!B27</f>
        <v/>
      </c>
      <c r="S84" s="5">
        <f>'normal_medium_15'!B30</f>
        <v/>
      </c>
    </row>
    <row r="85">
      <c r="A85" s="5" t="inlineStr">
        <is>
          <t>normal_medium_16</t>
        </is>
      </c>
      <c r="B85" s="5">
        <f>'normal_medium_16'!$B$3</f>
        <v/>
      </c>
      <c r="C85" s="5" t="n">
        <v>16</v>
      </c>
      <c r="D85" s="5">
        <f>IF(C85="","",C85+1)</f>
        <v/>
      </c>
      <c r="E85" s="5">
        <f>'normal_medium_16'!B27</f>
        <v/>
      </c>
      <c r="F85" s="5">
        <f>'normal_medium_16'!B28</f>
        <v/>
      </c>
      <c r="G85" s="5">
        <f>IF(C85="","N/A",F85=ROUNDUP((C85+1)/2,0))</f>
        <v/>
      </c>
      <c r="H85" s="5">
        <f>'normal_medium_16'!$D$3</f>
        <v/>
      </c>
      <c r="I85" s="5">
        <f>'normal_medium_16'!G22</f>
        <v/>
      </c>
      <c r="J85" s="5">
        <f>ABS(I85-H85)</f>
        <v/>
      </c>
      <c r="K85" s="7">
        <f>'normal_medium_16'!H22</f>
        <v/>
      </c>
      <c r="L85" s="5">
        <f>SUMIFS('normal_medium_16'!E7:E20,'normal_medium_16'!D7:D20,"&gt;0")</f>
        <v/>
      </c>
      <c r="M85" s="5">
        <f>SUMIFS('normal_medium_16'!E7:E20,'normal_medium_16'!D7:D20,"=0")</f>
        <v/>
      </c>
      <c r="N85" s="5">
        <f>SUMIFS('normal_medium_16'!E7:E20,'normal_medium_16'!D7:D20,"&gt;"&amp;B85)</f>
        <v/>
      </c>
      <c r="O85" s="5">
        <f>'normal_medium_16'!F22</f>
        <v/>
      </c>
      <c r="P85" s="5">
        <f>SQRT(SUMPRODUCT('normal_medium_16'!E7:E20,('normal_medium_16'!D7:D20-O85)^2))</f>
        <v/>
      </c>
      <c r="Q85" s="5">
        <f>'normal_medium_16'!B25</f>
        <v/>
      </c>
      <c r="R85" s="5">
        <f>'normal_medium_16'!B26</f>
        <v/>
      </c>
      <c r="S85" s="5">
        <f>'normal_medium_16'!B29</f>
        <v/>
      </c>
    </row>
    <row r="86">
      <c r="A86" s="5" t="inlineStr">
        <is>
          <t>normal_medium_8</t>
        </is>
      </c>
      <c r="B86" s="5">
        <f>'normal_medium_8'!$B$3</f>
        <v/>
      </c>
      <c r="C86" s="5" t="n">
        <v>8</v>
      </c>
      <c r="D86" s="5">
        <f>IF(C86="","",C86+1)</f>
        <v/>
      </c>
      <c r="E86" s="5">
        <f>'normal_medium_8'!B22</f>
        <v/>
      </c>
      <c r="F86" s="5">
        <f>'normal_medium_8'!B23</f>
        <v/>
      </c>
      <c r="G86" s="5">
        <f>IF(C86="","N/A",F86=ROUNDUP((C86+1)/2,0))</f>
        <v/>
      </c>
      <c r="H86" s="5">
        <f>'normal_medium_8'!$D$3</f>
        <v/>
      </c>
      <c r="I86" s="5">
        <f>'normal_medium_8'!G17</f>
        <v/>
      </c>
      <c r="J86" s="5">
        <f>ABS(I86-H86)</f>
        <v/>
      </c>
      <c r="K86" s="7">
        <f>'normal_medium_8'!H17</f>
        <v/>
      </c>
      <c r="L86" s="5">
        <f>SUMIFS('normal_medium_8'!E7:E15,'normal_medium_8'!D7:D15,"&gt;0")</f>
        <v/>
      </c>
      <c r="M86" s="5">
        <f>SUMIFS('normal_medium_8'!E7:E15,'normal_medium_8'!D7:D15,"=0")</f>
        <v/>
      </c>
      <c r="N86" s="5">
        <f>SUMIFS('normal_medium_8'!E7:E15,'normal_medium_8'!D7:D15,"&gt;"&amp;B86)</f>
        <v/>
      </c>
      <c r="O86" s="5">
        <f>'normal_medium_8'!F17</f>
        <v/>
      </c>
      <c r="P86" s="5">
        <f>SQRT(SUMPRODUCT('normal_medium_8'!E7:E15,('normal_medium_8'!D7:D15-O86)^2))</f>
        <v/>
      </c>
      <c r="Q86" s="5">
        <f>'normal_medium_8'!B20</f>
        <v/>
      </c>
      <c r="R86" s="5">
        <f>'normal_medium_8'!B21</f>
        <v/>
      </c>
      <c r="S86" s="5">
        <f>'normal_medium_8'!B24</f>
        <v/>
      </c>
    </row>
    <row r="87">
      <c r="A87" s="5" t="inlineStr">
        <is>
          <t>normal_medium_9</t>
        </is>
      </c>
      <c r="B87" s="5">
        <f>'normal_medium_9'!$B$3</f>
        <v/>
      </c>
      <c r="C87" s="5" t="n">
        <v>9</v>
      </c>
      <c r="D87" s="5">
        <f>IF(C87="","",C87+1)</f>
        <v/>
      </c>
      <c r="E87" s="5">
        <f>'normal_medium_9'!B23</f>
        <v/>
      </c>
      <c r="F87" s="5">
        <f>'normal_medium_9'!B24</f>
        <v/>
      </c>
      <c r="G87" s="5">
        <f>IF(C87="","N/A",F87=ROUNDUP((C87+1)/2,0))</f>
        <v/>
      </c>
      <c r="H87" s="5">
        <f>'normal_medium_9'!$D$3</f>
        <v/>
      </c>
      <c r="I87" s="5">
        <f>'normal_medium_9'!G18</f>
        <v/>
      </c>
      <c r="J87" s="5">
        <f>ABS(I87-H87)</f>
        <v/>
      </c>
      <c r="K87" s="7">
        <f>'normal_medium_9'!H18</f>
        <v/>
      </c>
      <c r="L87" s="5">
        <f>SUMIFS('normal_medium_9'!E7:E16,'normal_medium_9'!D7:D16,"&gt;0")</f>
        <v/>
      </c>
      <c r="M87" s="5">
        <f>SUMIFS('normal_medium_9'!E7:E16,'normal_medium_9'!D7:D16,"=0")</f>
        <v/>
      </c>
      <c r="N87" s="5">
        <f>SUMIFS('normal_medium_9'!E7:E16,'normal_medium_9'!D7:D16,"&gt;"&amp;B87)</f>
        <v/>
      </c>
      <c r="O87" s="5">
        <f>'normal_medium_9'!F18</f>
        <v/>
      </c>
      <c r="P87" s="5">
        <f>SQRT(SUMPRODUCT('normal_medium_9'!E7:E16,('normal_medium_9'!D7:D16-O87)^2))</f>
        <v/>
      </c>
      <c r="Q87" s="5">
        <f>'normal_medium_9'!B21</f>
        <v/>
      </c>
      <c r="R87" s="5">
        <f>'normal_medium_9'!B22</f>
        <v/>
      </c>
      <c r="S87" s="5">
        <f>'normal_medium_9'!B25</f>
        <v/>
      </c>
    </row>
    <row r="89">
      <c r="A89" s="3" t="inlineStr">
        <is>
          <t>Summary Checks</t>
        </is>
      </c>
    </row>
    <row r="90">
      <c r="A90" s="4" t="inlineStr">
        <is>
          <t>Key</t>
        </is>
      </c>
      <c r="B90" s="4" t="inlineStr">
        <is>
          <t>Value</t>
        </is>
      </c>
    </row>
    <row r="91">
      <c r="A91" s="5" t="inlineStr">
        <is>
          <t>Modes analyzed</t>
        </is>
      </c>
      <c r="B91" s="5">
        <f>ROWS(A16:A87)</f>
        <v/>
      </c>
    </row>
    <row r="92">
      <c r="A92" s="5" t="inlineStr">
        <is>
          <t>RTP pass count</t>
        </is>
      </c>
      <c r="B92" s="5">
        <f>COUNTIF(K16:K87,TRUE)</f>
        <v/>
      </c>
    </row>
    <row r="93">
      <c r="A93" s="5" t="inlineStr">
        <is>
          <t>Probability sum pass count</t>
        </is>
      </c>
      <c r="B93" s="5">
        <f>IF(178&lt;107,0,COUNTIFS(D107:D178,"&lt;&gt;",D107:D178,"&gt;=0.999999999",D107:D178,"&lt;=1.000000001"))</f>
        <v/>
      </c>
    </row>
    <row r="94">
      <c r="A94" s="5" t="inlineStr">
        <is>
          <t>All RTP pass</t>
        </is>
      </c>
      <c r="B94" s="5">
        <f>COUNTIF(K16:K87,FALSE)=0</f>
        <v/>
      </c>
    </row>
    <row r="95">
      <c r="A95" s="5" t="inlineStr">
        <is>
          <t>Bucket structure pass count</t>
        </is>
      </c>
      <c r="B95" s="5">
        <f>COUNTIF(G16:G87,TRUE)</f>
        <v/>
      </c>
    </row>
    <row r="96">
      <c r="A96" s="5" t="inlineStr">
        <is>
          <t>Min RTP Drift</t>
        </is>
      </c>
      <c r="B96" s="5">
        <f>MIN(J16:J87)</f>
        <v/>
      </c>
    </row>
    <row r="97">
      <c r="A97" s="5" t="inlineStr">
        <is>
          <t>Max RTP Drift</t>
        </is>
      </c>
      <c r="B97" s="5">
        <f>MAX(J16:J87)</f>
        <v/>
      </c>
    </row>
    <row r="99">
      <c r="A99" s="3" t="inlineStr">
        <is>
          <t>Validation Snapshot</t>
        </is>
      </c>
    </row>
    <row r="100">
      <c r="A100" s="4" t="inlineStr">
        <is>
          <t>Key</t>
        </is>
      </c>
      <c r="B100" s="4" t="inlineStr">
        <is>
          <t>Value</t>
        </is>
      </c>
    </row>
    <row r="101">
      <c r="A101" s="5" t="inlineStr">
        <is>
          <t>Modes analyzed</t>
        </is>
      </c>
      <c r="B101" s="5">
        <f>ROWS(A16:A87)</f>
        <v/>
      </c>
    </row>
    <row r="102">
      <c r="A102" s="5" t="inlineStr">
        <is>
          <t>All RTP pass</t>
        </is>
      </c>
      <c r="B102" s="5">
        <f>COUNTIF(K16:K87,FALSE)=0</f>
        <v/>
      </c>
    </row>
    <row r="103">
      <c r="A103" s="5" t="inlineStr">
        <is>
          <t>Generated workbook</t>
        </is>
      </c>
      <c r="B103" s="5" t="inlineStr">
        <is>
          <t>F:\Gaming\Stakes\math-sdk\games\azteck_plinko_final\AzteckPlinkoFull_audit_formulas.xlsx</t>
        </is>
      </c>
    </row>
    <row r="105">
      <c r="A105" s="3" t="inlineStr">
        <is>
          <t>Formula Audit Metrics</t>
        </is>
      </c>
    </row>
    <row r="106">
      <c r="A106" s="6" t="inlineStr">
        <is>
          <t>Mode</t>
        </is>
      </c>
      <c r="B106" s="6" t="inlineStr">
        <is>
          <t>Cost</t>
        </is>
      </c>
      <c r="C106" s="6" t="inlineStr">
        <is>
          <t>Target RTP</t>
        </is>
      </c>
      <c r="D106" s="6" t="inlineStr">
        <is>
          <t>Probability Sum</t>
        </is>
      </c>
      <c r="E106" s="6" t="inlineStr">
        <is>
          <t>Payout Sum</t>
        </is>
      </c>
      <c r="F106" s="6" t="inlineStr">
        <is>
          <t>Weighted Mean</t>
        </is>
      </c>
      <c r="G106" s="6" t="inlineStr">
        <is>
          <t>RTP</t>
        </is>
      </c>
      <c r="H106" s="6" t="inlineStr">
        <is>
          <t>RTP Drift</t>
        </is>
      </c>
      <c r="I106" s="6" t="inlineStr">
        <is>
          <t>RTP Pass</t>
        </is>
      </c>
      <c r="J106" s="6" t="inlineStr">
        <is>
          <t>Weight Sum</t>
        </is>
      </c>
    </row>
    <row r="107">
      <c r="A107" t="inlineStr">
        <is>
          <t>buy100_expert_10</t>
        </is>
      </c>
      <c r="B107">
        <f>'buy100_expert_10'!$B$3</f>
        <v/>
      </c>
      <c r="C107">
        <f>'buy100_expert_10'!$D$3</f>
        <v/>
      </c>
      <c r="D107">
        <f>'buy100_expert_10'!E16</f>
        <v/>
      </c>
      <c r="E107">
        <f>'buy100_expert_10'!D16</f>
        <v/>
      </c>
      <c r="F107">
        <f>'buy100_expert_10'!F16</f>
        <v/>
      </c>
      <c r="G107">
        <f>'buy100_expert_10'!G16</f>
        <v/>
      </c>
      <c r="H107">
        <f>'buy100_expert_10'!B17</f>
        <v/>
      </c>
      <c r="I107">
        <f>'buy100_expert_10'!H16</f>
        <v/>
      </c>
      <c r="J107">
        <f>'buy100_expert_10'!B16</f>
        <v/>
      </c>
    </row>
    <row r="108">
      <c r="A108" t="inlineStr">
        <is>
          <t>buy100_expert_11</t>
        </is>
      </c>
      <c r="B108">
        <f>'buy100_expert_11'!$B$3</f>
        <v/>
      </c>
      <c r="C108">
        <f>'buy100_expert_11'!$D$3</f>
        <v/>
      </c>
      <c r="D108">
        <f>'buy100_expert_11'!E17</f>
        <v/>
      </c>
      <c r="E108">
        <f>'buy100_expert_11'!D17</f>
        <v/>
      </c>
      <c r="F108">
        <f>'buy100_expert_11'!F17</f>
        <v/>
      </c>
      <c r="G108">
        <f>'buy100_expert_11'!G17</f>
        <v/>
      </c>
      <c r="H108">
        <f>'buy100_expert_11'!B18</f>
        <v/>
      </c>
      <c r="I108">
        <f>'buy100_expert_11'!H17</f>
        <v/>
      </c>
      <c r="J108">
        <f>'buy100_expert_11'!B17</f>
        <v/>
      </c>
    </row>
    <row r="109">
      <c r="A109" t="inlineStr">
        <is>
          <t>buy100_expert_12</t>
        </is>
      </c>
      <c r="B109">
        <f>'buy100_expert_12'!$B$3</f>
        <v/>
      </c>
      <c r="C109">
        <f>'buy100_expert_12'!$D$3</f>
        <v/>
      </c>
      <c r="D109">
        <f>'buy100_expert_12'!E18</f>
        <v/>
      </c>
      <c r="E109">
        <f>'buy100_expert_12'!D18</f>
        <v/>
      </c>
      <c r="F109">
        <f>'buy100_expert_12'!F18</f>
        <v/>
      </c>
      <c r="G109">
        <f>'buy100_expert_12'!G18</f>
        <v/>
      </c>
      <c r="H109">
        <f>'buy100_expert_12'!B19</f>
        <v/>
      </c>
      <c r="I109">
        <f>'buy100_expert_12'!H18</f>
        <v/>
      </c>
      <c r="J109">
        <f>'buy100_expert_12'!B18</f>
        <v/>
      </c>
    </row>
    <row r="110">
      <c r="A110" t="inlineStr">
        <is>
          <t>buy100_expert_13</t>
        </is>
      </c>
      <c r="B110">
        <f>'buy100_expert_13'!$B$3</f>
        <v/>
      </c>
      <c r="C110">
        <f>'buy100_expert_13'!$D$3</f>
        <v/>
      </c>
      <c r="D110">
        <f>'buy100_expert_13'!E19</f>
        <v/>
      </c>
      <c r="E110">
        <f>'buy100_expert_13'!D19</f>
        <v/>
      </c>
      <c r="F110">
        <f>'buy100_expert_13'!F19</f>
        <v/>
      </c>
      <c r="G110">
        <f>'buy100_expert_13'!G19</f>
        <v/>
      </c>
      <c r="H110">
        <f>'buy100_expert_13'!B20</f>
        <v/>
      </c>
      <c r="I110">
        <f>'buy100_expert_13'!H19</f>
        <v/>
      </c>
      <c r="J110">
        <f>'buy100_expert_13'!B19</f>
        <v/>
      </c>
    </row>
    <row r="111">
      <c r="A111" t="inlineStr">
        <is>
          <t>buy100_expert_14</t>
        </is>
      </c>
      <c r="B111">
        <f>'buy100_expert_14'!$B$3</f>
        <v/>
      </c>
      <c r="C111">
        <f>'buy100_expert_14'!$D$3</f>
        <v/>
      </c>
      <c r="D111">
        <f>'buy100_expert_14'!E20</f>
        <v/>
      </c>
      <c r="E111">
        <f>'buy100_expert_14'!D20</f>
        <v/>
      </c>
      <c r="F111">
        <f>'buy100_expert_14'!F20</f>
        <v/>
      </c>
      <c r="G111">
        <f>'buy100_expert_14'!G20</f>
        <v/>
      </c>
      <c r="H111">
        <f>'buy100_expert_14'!B21</f>
        <v/>
      </c>
      <c r="I111">
        <f>'buy100_expert_14'!H20</f>
        <v/>
      </c>
      <c r="J111">
        <f>'buy100_expert_14'!B20</f>
        <v/>
      </c>
    </row>
    <row r="112">
      <c r="A112" t="inlineStr">
        <is>
          <t>buy100_expert_15</t>
        </is>
      </c>
      <c r="B112">
        <f>'buy100_expert_15'!$B$3</f>
        <v/>
      </c>
      <c r="C112">
        <f>'buy100_expert_15'!$D$3</f>
        <v/>
      </c>
      <c r="D112">
        <f>'buy100_expert_15'!E19</f>
        <v/>
      </c>
      <c r="E112">
        <f>'buy100_expert_15'!D19</f>
        <v/>
      </c>
      <c r="F112">
        <f>'buy100_expert_15'!F19</f>
        <v/>
      </c>
      <c r="G112">
        <f>'buy100_expert_15'!G19</f>
        <v/>
      </c>
      <c r="H112">
        <f>'buy100_expert_15'!B20</f>
        <v/>
      </c>
      <c r="I112">
        <f>'buy100_expert_15'!H19</f>
        <v/>
      </c>
      <c r="J112">
        <f>'buy100_expert_15'!B19</f>
        <v/>
      </c>
    </row>
    <row r="113">
      <c r="A113" t="inlineStr">
        <is>
          <t>buy100_expert_16</t>
        </is>
      </c>
      <c r="B113">
        <f>'buy100_expert_16'!$B$3</f>
        <v/>
      </c>
      <c r="C113">
        <f>'buy100_expert_16'!$D$3</f>
        <v/>
      </c>
      <c r="D113">
        <f>'buy100_expert_16'!E20</f>
        <v/>
      </c>
      <c r="E113">
        <f>'buy100_expert_16'!D20</f>
        <v/>
      </c>
      <c r="F113">
        <f>'buy100_expert_16'!F20</f>
        <v/>
      </c>
      <c r="G113">
        <f>'buy100_expert_16'!G20</f>
        <v/>
      </c>
      <c r="H113">
        <f>'buy100_expert_16'!B21</f>
        <v/>
      </c>
      <c r="I113">
        <f>'buy100_expert_16'!H20</f>
        <v/>
      </c>
      <c r="J113">
        <f>'buy100_expert_16'!B20</f>
        <v/>
      </c>
    </row>
    <row r="114">
      <c r="A114" t="inlineStr">
        <is>
          <t>buy100_expert_8</t>
        </is>
      </c>
      <c r="B114">
        <f>'buy100_expert_8'!$B$3</f>
        <v/>
      </c>
      <c r="C114">
        <f>'buy100_expert_8'!$D$3</f>
        <v/>
      </c>
      <c r="D114">
        <f>'buy100_expert_8'!E16</f>
        <v/>
      </c>
      <c r="E114">
        <f>'buy100_expert_8'!D16</f>
        <v/>
      </c>
      <c r="F114">
        <f>'buy100_expert_8'!F16</f>
        <v/>
      </c>
      <c r="G114">
        <f>'buy100_expert_8'!G16</f>
        <v/>
      </c>
      <c r="H114">
        <f>'buy100_expert_8'!B17</f>
        <v/>
      </c>
      <c r="I114">
        <f>'buy100_expert_8'!H16</f>
        <v/>
      </c>
      <c r="J114">
        <f>'buy100_expert_8'!B16</f>
        <v/>
      </c>
    </row>
    <row r="115">
      <c r="A115" t="inlineStr">
        <is>
          <t>buy100_expert_9</t>
        </is>
      </c>
      <c r="B115">
        <f>'buy100_expert_9'!$B$3</f>
        <v/>
      </c>
      <c r="C115">
        <f>'buy100_expert_9'!$D$3</f>
        <v/>
      </c>
      <c r="D115">
        <f>'buy100_expert_9'!E17</f>
        <v/>
      </c>
      <c r="E115">
        <f>'buy100_expert_9'!D17</f>
        <v/>
      </c>
      <c r="F115">
        <f>'buy100_expert_9'!F17</f>
        <v/>
      </c>
      <c r="G115">
        <f>'buy100_expert_9'!G17</f>
        <v/>
      </c>
      <c r="H115">
        <f>'buy100_expert_9'!B18</f>
        <v/>
      </c>
      <c r="I115">
        <f>'buy100_expert_9'!H17</f>
        <v/>
      </c>
      <c r="J115">
        <f>'buy100_expert_9'!B17</f>
        <v/>
      </c>
    </row>
    <row r="116">
      <c r="A116" t="inlineStr">
        <is>
          <t>buy100_high_10</t>
        </is>
      </c>
      <c r="B116">
        <f>'buy100_high_10'!$B$3</f>
        <v/>
      </c>
      <c r="C116">
        <f>'buy100_high_10'!$D$3</f>
        <v/>
      </c>
      <c r="D116">
        <f>'buy100_high_10'!E18</f>
        <v/>
      </c>
      <c r="E116">
        <f>'buy100_high_10'!D18</f>
        <v/>
      </c>
      <c r="F116">
        <f>'buy100_high_10'!F18</f>
        <v/>
      </c>
      <c r="G116">
        <f>'buy100_high_10'!G18</f>
        <v/>
      </c>
      <c r="H116">
        <f>'buy100_high_10'!B19</f>
        <v/>
      </c>
      <c r="I116">
        <f>'buy100_high_10'!H18</f>
        <v/>
      </c>
      <c r="J116">
        <f>'buy100_high_10'!B18</f>
        <v/>
      </c>
    </row>
    <row r="117">
      <c r="A117" t="inlineStr">
        <is>
          <t>buy100_high_11</t>
        </is>
      </c>
      <c r="B117">
        <f>'buy100_high_11'!$B$3</f>
        <v/>
      </c>
      <c r="C117">
        <f>'buy100_high_11'!$D$3</f>
        <v/>
      </c>
      <c r="D117">
        <f>'buy100_high_11'!E19</f>
        <v/>
      </c>
      <c r="E117">
        <f>'buy100_high_11'!D19</f>
        <v/>
      </c>
      <c r="F117">
        <f>'buy100_high_11'!F19</f>
        <v/>
      </c>
      <c r="G117">
        <f>'buy100_high_11'!G19</f>
        <v/>
      </c>
      <c r="H117">
        <f>'buy100_high_11'!B20</f>
        <v/>
      </c>
      <c r="I117">
        <f>'buy100_high_11'!H19</f>
        <v/>
      </c>
      <c r="J117">
        <f>'buy100_high_11'!B19</f>
        <v/>
      </c>
    </row>
    <row r="118">
      <c r="A118" t="inlineStr">
        <is>
          <t>buy100_high_12</t>
        </is>
      </c>
      <c r="B118">
        <f>'buy100_high_12'!$B$3</f>
        <v/>
      </c>
      <c r="C118">
        <f>'buy100_high_12'!$D$3</f>
        <v/>
      </c>
      <c r="D118">
        <f>'buy100_high_12'!E20</f>
        <v/>
      </c>
      <c r="E118">
        <f>'buy100_high_12'!D20</f>
        <v/>
      </c>
      <c r="F118">
        <f>'buy100_high_12'!F20</f>
        <v/>
      </c>
      <c r="G118">
        <f>'buy100_high_12'!G20</f>
        <v/>
      </c>
      <c r="H118">
        <f>'buy100_high_12'!B21</f>
        <v/>
      </c>
      <c r="I118">
        <f>'buy100_high_12'!H20</f>
        <v/>
      </c>
      <c r="J118">
        <f>'buy100_high_12'!B20</f>
        <v/>
      </c>
    </row>
    <row r="119">
      <c r="A119" t="inlineStr">
        <is>
          <t>buy100_high_13</t>
        </is>
      </c>
      <c r="B119">
        <f>'buy100_high_13'!$B$3</f>
        <v/>
      </c>
      <c r="C119">
        <f>'buy100_high_13'!$D$3</f>
        <v/>
      </c>
      <c r="D119">
        <f>'buy100_high_13'!E21</f>
        <v/>
      </c>
      <c r="E119">
        <f>'buy100_high_13'!D21</f>
        <v/>
      </c>
      <c r="F119">
        <f>'buy100_high_13'!F21</f>
        <v/>
      </c>
      <c r="G119">
        <f>'buy100_high_13'!G21</f>
        <v/>
      </c>
      <c r="H119">
        <f>'buy100_high_13'!B22</f>
        <v/>
      </c>
      <c r="I119">
        <f>'buy100_high_13'!H21</f>
        <v/>
      </c>
      <c r="J119">
        <f>'buy100_high_13'!B21</f>
        <v/>
      </c>
    </row>
    <row r="120">
      <c r="A120" t="inlineStr">
        <is>
          <t>buy100_high_14</t>
        </is>
      </c>
      <c r="B120">
        <f>'buy100_high_14'!$B$3</f>
        <v/>
      </c>
      <c r="C120">
        <f>'buy100_high_14'!$D$3</f>
        <v/>
      </c>
      <c r="D120">
        <f>'buy100_high_14'!E20</f>
        <v/>
      </c>
      <c r="E120">
        <f>'buy100_high_14'!D20</f>
        <v/>
      </c>
      <c r="F120">
        <f>'buy100_high_14'!F20</f>
        <v/>
      </c>
      <c r="G120">
        <f>'buy100_high_14'!G20</f>
        <v/>
      </c>
      <c r="H120">
        <f>'buy100_high_14'!B21</f>
        <v/>
      </c>
      <c r="I120">
        <f>'buy100_high_14'!H20</f>
        <v/>
      </c>
      <c r="J120">
        <f>'buy100_high_14'!B20</f>
        <v/>
      </c>
    </row>
    <row r="121">
      <c r="A121" t="inlineStr">
        <is>
          <t>buy100_high_15</t>
        </is>
      </c>
      <c r="B121">
        <f>'buy100_high_15'!$B$3</f>
        <v/>
      </c>
      <c r="C121">
        <f>'buy100_high_15'!$D$3</f>
        <v/>
      </c>
      <c r="D121">
        <f>'buy100_high_15'!E21</f>
        <v/>
      </c>
      <c r="E121">
        <f>'buy100_high_15'!D21</f>
        <v/>
      </c>
      <c r="F121">
        <f>'buy100_high_15'!F21</f>
        <v/>
      </c>
      <c r="G121">
        <f>'buy100_high_15'!G21</f>
        <v/>
      </c>
      <c r="H121">
        <f>'buy100_high_15'!B22</f>
        <v/>
      </c>
      <c r="I121">
        <f>'buy100_high_15'!H21</f>
        <v/>
      </c>
      <c r="J121">
        <f>'buy100_high_15'!B21</f>
        <v/>
      </c>
    </row>
    <row r="122">
      <c r="A122" t="inlineStr">
        <is>
          <t>buy100_high_16</t>
        </is>
      </c>
      <c r="B122">
        <f>'buy100_high_16'!$B$3</f>
        <v/>
      </c>
      <c r="C122">
        <f>'buy100_high_16'!$D$3</f>
        <v/>
      </c>
      <c r="D122">
        <f>'buy100_high_16'!E22</f>
        <v/>
      </c>
      <c r="E122">
        <f>'buy100_high_16'!D22</f>
        <v/>
      </c>
      <c r="F122">
        <f>'buy100_high_16'!F22</f>
        <v/>
      </c>
      <c r="G122">
        <f>'buy100_high_16'!G22</f>
        <v/>
      </c>
      <c r="H122">
        <f>'buy100_high_16'!B23</f>
        <v/>
      </c>
      <c r="I122">
        <f>'buy100_high_16'!H22</f>
        <v/>
      </c>
      <c r="J122">
        <f>'buy100_high_16'!B22</f>
        <v/>
      </c>
    </row>
    <row r="123">
      <c r="A123" t="inlineStr">
        <is>
          <t>buy100_high_8</t>
        </is>
      </c>
      <c r="B123">
        <f>'buy100_high_8'!$B$3</f>
        <v/>
      </c>
      <c r="C123">
        <f>'buy100_high_8'!$D$3</f>
        <v/>
      </c>
      <c r="D123">
        <f>'buy100_high_8'!E17</f>
        <v/>
      </c>
      <c r="E123">
        <f>'buy100_high_8'!D17</f>
        <v/>
      </c>
      <c r="F123">
        <f>'buy100_high_8'!F17</f>
        <v/>
      </c>
      <c r="G123">
        <f>'buy100_high_8'!G17</f>
        <v/>
      </c>
      <c r="H123">
        <f>'buy100_high_8'!B18</f>
        <v/>
      </c>
      <c r="I123">
        <f>'buy100_high_8'!H17</f>
        <v/>
      </c>
      <c r="J123">
        <f>'buy100_high_8'!B17</f>
        <v/>
      </c>
    </row>
    <row r="124">
      <c r="A124" t="inlineStr">
        <is>
          <t>buy100_high_9</t>
        </is>
      </c>
      <c r="B124">
        <f>'buy100_high_9'!$B$3</f>
        <v/>
      </c>
      <c r="C124">
        <f>'buy100_high_9'!$D$3</f>
        <v/>
      </c>
      <c r="D124">
        <f>'buy100_high_9'!E17</f>
        <v/>
      </c>
      <c r="E124">
        <f>'buy100_high_9'!D17</f>
        <v/>
      </c>
      <c r="F124">
        <f>'buy100_high_9'!F17</f>
        <v/>
      </c>
      <c r="G124">
        <f>'buy100_high_9'!G17</f>
        <v/>
      </c>
      <c r="H124">
        <f>'buy100_high_9'!B18</f>
        <v/>
      </c>
      <c r="I124">
        <f>'buy100_high_9'!H17</f>
        <v/>
      </c>
      <c r="J124">
        <f>'buy100_high_9'!B17</f>
        <v/>
      </c>
    </row>
    <row r="125">
      <c r="A125" t="inlineStr">
        <is>
          <t>buy100_low_10</t>
        </is>
      </c>
      <c r="B125">
        <f>'buy100_low_10'!$B$3</f>
        <v/>
      </c>
      <c r="C125">
        <f>'buy100_low_10'!$D$3</f>
        <v/>
      </c>
      <c r="D125">
        <f>'buy100_low_10'!E19</f>
        <v/>
      </c>
      <c r="E125">
        <f>'buy100_low_10'!D19</f>
        <v/>
      </c>
      <c r="F125">
        <f>'buy100_low_10'!F19</f>
        <v/>
      </c>
      <c r="G125">
        <f>'buy100_low_10'!G19</f>
        <v/>
      </c>
      <c r="H125">
        <f>'buy100_low_10'!B20</f>
        <v/>
      </c>
      <c r="I125">
        <f>'buy100_low_10'!H19</f>
        <v/>
      </c>
      <c r="J125">
        <f>'buy100_low_10'!B19</f>
        <v/>
      </c>
    </row>
    <row r="126">
      <c r="A126" t="inlineStr">
        <is>
          <t>buy100_low_11</t>
        </is>
      </c>
      <c r="B126">
        <f>'buy100_low_11'!$B$3</f>
        <v/>
      </c>
      <c r="C126">
        <f>'buy100_low_11'!$D$3</f>
        <v/>
      </c>
      <c r="D126">
        <f>'buy100_low_11'!E19</f>
        <v/>
      </c>
      <c r="E126">
        <f>'buy100_low_11'!D19</f>
        <v/>
      </c>
      <c r="F126">
        <f>'buy100_low_11'!F19</f>
        <v/>
      </c>
      <c r="G126">
        <f>'buy100_low_11'!G19</f>
        <v/>
      </c>
      <c r="H126">
        <f>'buy100_low_11'!B20</f>
        <v/>
      </c>
      <c r="I126">
        <f>'buy100_low_11'!H19</f>
        <v/>
      </c>
      <c r="J126">
        <f>'buy100_low_11'!B19</f>
        <v/>
      </c>
    </row>
    <row r="127">
      <c r="A127" t="inlineStr">
        <is>
          <t>buy100_low_12</t>
        </is>
      </c>
      <c r="B127">
        <f>'buy100_low_12'!$B$3</f>
        <v/>
      </c>
      <c r="C127">
        <f>'buy100_low_12'!$D$3</f>
        <v/>
      </c>
      <c r="D127">
        <f>'buy100_low_12'!E20</f>
        <v/>
      </c>
      <c r="E127">
        <f>'buy100_low_12'!D20</f>
        <v/>
      </c>
      <c r="F127">
        <f>'buy100_low_12'!F20</f>
        <v/>
      </c>
      <c r="G127">
        <f>'buy100_low_12'!G20</f>
        <v/>
      </c>
      <c r="H127">
        <f>'buy100_low_12'!B21</f>
        <v/>
      </c>
      <c r="I127">
        <f>'buy100_low_12'!H20</f>
        <v/>
      </c>
      <c r="J127">
        <f>'buy100_low_12'!B20</f>
        <v/>
      </c>
    </row>
    <row r="128">
      <c r="A128" t="inlineStr">
        <is>
          <t>buy100_low_13</t>
        </is>
      </c>
      <c r="B128">
        <f>'buy100_low_13'!$B$3</f>
        <v/>
      </c>
      <c r="C128">
        <f>'buy100_low_13'!$D$3</f>
        <v/>
      </c>
      <c r="D128">
        <f>'buy100_low_13'!E22</f>
        <v/>
      </c>
      <c r="E128">
        <f>'buy100_low_13'!D22</f>
        <v/>
      </c>
      <c r="F128">
        <f>'buy100_low_13'!F22</f>
        <v/>
      </c>
      <c r="G128">
        <f>'buy100_low_13'!G22</f>
        <v/>
      </c>
      <c r="H128">
        <f>'buy100_low_13'!B23</f>
        <v/>
      </c>
      <c r="I128">
        <f>'buy100_low_13'!H22</f>
        <v/>
      </c>
      <c r="J128">
        <f>'buy100_low_13'!B22</f>
        <v/>
      </c>
    </row>
    <row r="129">
      <c r="A129" t="inlineStr">
        <is>
          <t>buy100_low_14</t>
        </is>
      </c>
      <c r="B129">
        <f>'buy100_low_14'!$B$3</f>
        <v/>
      </c>
      <c r="C129">
        <f>'buy100_low_14'!$D$3</f>
        <v/>
      </c>
      <c r="D129">
        <f>'buy100_low_14'!E22</f>
        <v/>
      </c>
      <c r="E129">
        <f>'buy100_low_14'!D22</f>
        <v/>
      </c>
      <c r="F129">
        <f>'buy100_low_14'!F22</f>
        <v/>
      </c>
      <c r="G129">
        <f>'buy100_low_14'!G22</f>
        <v/>
      </c>
      <c r="H129">
        <f>'buy100_low_14'!B23</f>
        <v/>
      </c>
      <c r="I129">
        <f>'buy100_low_14'!H22</f>
        <v/>
      </c>
      <c r="J129">
        <f>'buy100_low_14'!B22</f>
        <v/>
      </c>
    </row>
    <row r="130">
      <c r="A130" t="inlineStr">
        <is>
          <t>buy100_low_15</t>
        </is>
      </c>
      <c r="B130">
        <f>'buy100_low_15'!$B$3</f>
        <v/>
      </c>
      <c r="C130">
        <f>'buy100_low_15'!$D$3</f>
        <v/>
      </c>
      <c r="D130">
        <f>'buy100_low_15'!E21</f>
        <v/>
      </c>
      <c r="E130">
        <f>'buy100_low_15'!D21</f>
        <v/>
      </c>
      <c r="F130">
        <f>'buy100_low_15'!F21</f>
        <v/>
      </c>
      <c r="G130">
        <f>'buy100_low_15'!G21</f>
        <v/>
      </c>
      <c r="H130">
        <f>'buy100_low_15'!B22</f>
        <v/>
      </c>
      <c r="I130">
        <f>'buy100_low_15'!H21</f>
        <v/>
      </c>
      <c r="J130">
        <f>'buy100_low_15'!B21</f>
        <v/>
      </c>
    </row>
    <row r="131">
      <c r="A131" t="inlineStr">
        <is>
          <t>buy100_low_16</t>
        </is>
      </c>
      <c r="B131">
        <f>'buy100_low_16'!$B$3</f>
        <v/>
      </c>
      <c r="C131">
        <f>'buy100_low_16'!$D$3</f>
        <v/>
      </c>
      <c r="D131">
        <f>'buy100_low_16'!E22</f>
        <v/>
      </c>
      <c r="E131">
        <f>'buy100_low_16'!D22</f>
        <v/>
      </c>
      <c r="F131">
        <f>'buy100_low_16'!F22</f>
        <v/>
      </c>
      <c r="G131">
        <f>'buy100_low_16'!G22</f>
        <v/>
      </c>
      <c r="H131">
        <f>'buy100_low_16'!B23</f>
        <v/>
      </c>
      <c r="I131">
        <f>'buy100_low_16'!H22</f>
        <v/>
      </c>
      <c r="J131">
        <f>'buy100_low_16'!B22</f>
        <v/>
      </c>
    </row>
    <row r="132">
      <c r="A132" t="inlineStr">
        <is>
          <t>buy100_low_8</t>
        </is>
      </c>
      <c r="B132">
        <f>'buy100_low_8'!$B$3</f>
        <v/>
      </c>
      <c r="C132">
        <f>'buy100_low_8'!$D$3</f>
        <v/>
      </c>
      <c r="D132">
        <f>'buy100_low_8'!E17</f>
        <v/>
      </c>
      <c r="E132">
        <f>'buy100_low_8'!D17</f>
        <v/>
      </c>
      <c r="F132">
        <f>'buy100_low_8'!F17</f>
        <v/>
      </c>
      <c r="G132">
        <f>'buy100_low_8'!G17</f>
        <v/>
      </c>
      <c r="H132">
        <f>'buy100_low_8'!B18</f>
        <v/>
      </c>
      <c r="I132">
        <f>'buy100_low_8'!H17</f>
        <v/>
      </c>
      <c r="J132">
        <f>'buy100_low_8'!B17</f>
        <v/>
      </c>
    </row>
    <row r="133">
      <c r="A133" t="inlineStr">
        <is>
          <t>buy100_low_9</t>
        </is>
      </c>
      <c r="B133">
        <f>'buy100_low_9'!$B$3</f>
        <v/>
      </c>
      <c r="C133">
        <f>'buy100_low_9'!$D$3</f>
        <v/>
      </c>
      <c r="D133">
        <f>'buy100_low_9'!E18</f>
        <v/>
      </c>
      <c r="E133">
        <f>'buy100_low_9'!D18</f>
        <v/>
      </c>
      <c r="F133">
        <f>'buy100_low_9'!F18</f>
        <v/>
      </c>
      <c r="G133">
        <f>'buy100_low_9'!G18</f>
        <v/>
      </c>
      <c r="H133">
        <f>'buy100_low_9'!B19</f>
        <v/>
      </c>
      <c r="I133">
        <f>'buy100_low_9'!H18</f>
        <v/>
      </c>
      <c r="J133">
        <f>'buy100_low_9'!B18</f>
        <v/>
      </c>
    </row>
    <row r="134">
      <c r="A134" t="inlineStr">
        <is>
          <t>buy100_medium_10</t>
        </is>
      </c>
      <c r="B134">
        <f>'buy100_medium_10'!$B$3</f>
        <v/>
      </c>
      <c r="C134">
        <f>'buy100_medium_10'!$D$3</f>
        <v/>
      </c>
      <c r="D134">
        <f>'buy100_medium_10'!E18</f>
        <v/>
      </c>
      <c r="E134">
        <f>'buy100_medium_10'!D18</f>
        <v/>
      </c>
      <c r="F134">
        <f>'buy100_medium_10'!F18</f>
        <v/>
      </c>
      <c r="G134">
        <f>'buy100_medium_10'!G18</f>
        <v/>
      </c>
      <c r="H134">
        <f>'buy100_medium_10'!B19</f>
        <v/>
      </c>
      <c r="I134">
        <f>'buy100_medium_10'!H18</f>
        <v/>
      </c>
      <c r="J134">
        <f>'buy100_medium_10'!B18</f>
        <v/>
      </c>
    </row>
    <row r="135">
      <c r="A135" t="inlineStr">
        <is>
          <t>buy100_medium_11</t>
        </is>
      </c>
      <c r="B135">
        <f>'buy100_medium_11'!$B$3</f>
        <v/>
      </c>
      <c r="C135">
        <f>'buy100_medium_11'!$D$3</f>
        <v/>
      </c>
      <c r="D135">
        <f>'buy100_medium_11'!E19</f>
        <v/>
      </c>
      <c r="E135">
        <f>'buy100_medium_11'!D19</f>
        <v/>
      </c>
      <c r="F135">
        <f>'buy100_medium_11'!F19</f>
        <v/>
      </c>
      <c r="G135">
        <f>'buy100_medium_11'!G19</f>
        <v/>
      </c>
      <c r="H135">
        <f>'buy100_medium_11'!B20</f>
        <v/>
      </c>
      <c r="I135">
        <f>'buy100_medium_11'!H19</f>
        <v/>
      </c>
      <c r="J135">
        <f>'buy100_medium_11'!B19</f>
        <v/>
      </c>
    </row>
    <row r="136">
      <c r="A136" t="inlineStr">
        <is>
          <t>buy100_medium_12</t>
        </is>
      </c>
      <c r="B136">
        <f>'buy100_medium_12'!$B$3</f>
        <v/>
      </c>
      <c r="C136">
        <f>'buy100_medium_12'!$D$3</f>
        <v/>
      </c>
      <c r="D136">
        <f>'buy100_medium_12'!E20</f>
        <v/>
      </c>
      <c r="E136">
        <f>'buy100_medium_12'!D20</f>
        <v/>
      </c>
      <c r="F136">
        <f>'buy100_medium_12'!F20</f>
        <v/>
      </c>
      <c r="G136">
        <f>'buy100_medium_12'!G20</f>
        <v/>
      </c>
      <c r="H136">
        <f>'buy100_medium_12'!B21</f>
        <v/>
      </c>
      <c r="I136">
        <f>'buy100_medium_12'!H20</f>
        <v/>
      </c>
      <c r="J136">
        <f>'buy100_medium_12'!B20</f>
        <v/>
      </c>
    </row>
    <row r="137">
      <c r="A137" t="inlineStr">
        <is>
          <t>buy100_medium_13</t>
        </is>
      </c>
      <c r="B137">
        <f>'buy100_medium_13'!$B$3</f>
        <v/>
      </c>
      <c r="C137">
        <f>'buy100_medium_13'!$D$3</f>
        <v/>
      </c>
      <c r="D137">
        <f>'buy100_medium_13'!E21</f>
        <v/>
      </c>
      <c r="E137">
        <f>'buy100_medium_13'!D21</f>
        <v/>
      </c>
      <c r="F137">
        <f>'buy100_medium_13'!F21</f>
        <v/>
      </c>
      <c r="G137">
        <f>'buy100_medium_13'!G21</f>
        <v/>
      </c>
      <c r="H137">
        <f>'buy100_medium_13'!B22</f>
        <v/>
      </c>
      <c r="I137">
        <f>'buy100_medium_13'!H21</f>
        <v/>
      </c>
      <c r="J137">
        <f>'buy100_medium_13'!B21</f>
        <v/>
      </c>
    </row>
    <row r="138">
      <c r="A138" t="inlineStr">
        <is>
          <t>buy100_medium_14</t>
        </is>
      </c>
      <c r="B138">
        <f>'buy100_medium_14'!$B$3</f>
        <v/>
      </c>
      <c r="C138">
        <f>'buy100_medium_14'!$D$3</f>
        <v/>
      </c>
      <c r="D138">
        <f>'buy100_medium_14'!E22</f>
        <v/>
      </c>
      <c r="E138">
        <f>'buy100_medium_14'!D22</f>
        <v/>
      </c>
      <c r="F138">
        <f>'buy100_medium_14'!F22</f>
        <v/>
      </c>
      <c r="G138">
        <f>'buy100_medium_14'!G22</f>
        <v/>
      </c>
      <c r="H138">
        <f>'buy100_medium_14'!B23</f>
        <v/>
      </c>
      <c r="I138">
        <f>'buy100_medium_14'!H22</f>
        <v/>
      </c>
      <c r="J138">
        <f>'buy100_medium_14'!B22</f>
        <v/>
      </c>
    </row>
    <row r="139">
      <c r="A139" t="inlineStr">
        <is>
          <t>buy100_medium_15</t>
        </is>
      </c>
      <c r="B139">
        <f>'buy100_medium_15'!$B$3</f>
        <v/>
      </c>
      <c r="C139">
        <f>'buy100_medium_15'!$D$3</f>
        <v/>
      </c>
      <c r="D139">
        <f>'buy100_medium_15'!E23</f>
        <v/>
      </c>
      <c r="E139">
        <f>'buy100_medium_15'!D23</f>
        <v/>
      </c>
      <c r="F139">
        <f>'buy100_medium_15'!F23</f>
        <v/>
      </c>
      <c r="G139">
        <f>'buy100_medium_15'!G23</f>
        <v/>
      </c>
      <c r="H139">
        <f>'buy100_medium_15'!B24</f>
        <v/>
      </c>
      <c r="I139">
        <f>'buy100_medium_15'!H23</f>
        <v/>
      </c>
      <c r="J139">
        <f>'buy100_medium_15'!B23</f>
        <v/>
      </c>
    </row>
    <row r="140">
      <c r="A140" t="inlineStr">
        <is>
          <t>buy100_medium_16</t>
        </is>
      </c>
      <c r="B140">
        <f>'buy100_medium_16'!$B$3</f>
        <v/>
      </c>
      <c r="C140">
        <f>'buy100_medium_16'!$D$3</f>
        <v/>
      </c>
      <c r="D140">
        <f>'buy100_medium_16'!E22</f>
        <v/>
      </c>
      <c r="E140">
        <f>'buy100_medium_16'!D22</f>
        <v/>
      </c>
      <c r="F140">
        <f>'buy100_medium_16'!F22</f>
        <v/>
      </c>
      <c r="G140">
        <f>'buy100_medium_16'!G22</f>
        <v/>
      </c>
      <c r="H140">
        <f>'buy100_medium_16'!B23</f>
        <v/>
      </c>
      <c r="I140">
        <f>'buy100_medium_16'!H22</f>
        <v/>
      </c>
      <c r="J140">
        <f>'buy100_medium_16'!B22</f>
        <v/>
      </c>
    </row>
    <row r="141">
      <c r="A141" t="inlineStr">
        <is>
          <t>buy100_medium_8</t>
        </is>
      </c>
      <c r="B141">
        <f>'buy100_medium_8'!$B$3</f>
        <v/>
      </c>
      <c r="C141">
        <f>'buy100_medium_8'!$D$3</f>
        <v/>
      </c>
      <c r="D141">
        <f>'buy100_medium_8'!E17</f>
        <v/>
      </c>
      <c r="E141">
        <f>'buy100_medium_8'!D17</f>
        <v/>
      </c>
      <c r="F141">
        <f>'buy100_medium_8'!F17</f>
        <v/>
      </c>
      <c r="G141">
        <f>'buy100_medium_8'!G17</f>
        <v/>
      </c>
      <c r="H141">
        <f>'buy100_medium_8'!B18</f>
        <v/>
      </c>
      <c r="I141">
        <f>'buy100_medium_8'!H17</f>
        <v/>
      </c>
      <c r="J141">
        <f>'buy100_medium_8'!B17</f>
        <v/>
      </c>
    </row>
    <row r="142">
      <c r="A142" t="inlineStr">
        <is>
          <t>buy100_medium_9</t>
        </is>
      </c>
      <c r="B142">
        <f>'buy100_medium_9'!$B$3</f>
        <v/>
      </c>
      <c r="C142">
        <f>'buy100_medium_9'!$D$3</f>
        <v/>
      </c>
      <c r="D142">
        <f>'buy100_medium_9'!E18</f>
        <v/>
      </c>
      <c r="E142">
        <f>'buy100_medium_9'!D18</f>
        <v/>
      </c>
      <c r="F142">
        <f>'buy100_medium_9'!F18</f>
        <v/>
      </c>
      <c r="G142">
        <f>'buy100_medium_9'!G18</f>
        <v/>
      </c>
      <c r="H142">
        <f>'buy100_medium_9'!B19</f>
        <v/>
      </c>
      <c r="I142">
        <f>'buy100_medium_9'!H18</f>
        <v/>
      </c>
      <c r="J142">
        <f>'buy100_medium_9'!B18</f>
        <v/>
      </c>
    </row>
    <row r="143">
      <c r="A143" t="inlineStr">
        <is>
          <t>normal_expert_10</t>
        </is>
      </c>
      <c r="B143">
        <f>'normal_expert_10'!$B$3</f>
        <v/>
      </c>
      <c r="C143">
        <f>'normal_expert_10'!$D$3</f>
        <v/>
      </c>
      <c r="D143">
        <f>'normal_expert_10'!E16</f>
        <v/>
      </c>
      <c r="E143">
        <f>'normal_expert_10'!D16</f>
        <v/>
      </c>
      <c r="F143">
        <f>'normal_expert_10'!F16</f>
        <v/>
      </c>
      <c r="G143">
        <f>'normal_expert_10'!G16</f>
        <v/>
      </c>
      <c r="H143">
        <f>'normal_expert_10'!B17</f>
        <v/>
      </c>
      <c r="I143">
        <f>'normal_expert_10'!H16</f>
        <v/>
      </c>
      <c r="J143">
        <f>'normal_expert_10'!B16</f>
        <v/>
      </c>
    </row>
    <row r="144">
      <c r="A144" t="inlineStr">
        <is>
          <t>normal_expert_11</t>
        </is>
      </c>
      <c r="B144">
        <f>'normal_expert_11'!$B$3</f>
        <v/>
      </c>
      <c r="C144">
        <f>'normal_expert_11'!$D$3</f>
        <v/>
      </c>
      <c r="D144">
        <f>'normal_expert_11'!E17</f>
        <v/>
      </c>
      <c r="E144">
        <f>'normal_expert_11'!D17</f>
        <v/>
      </c>
      <c r="F144">
        <f>'normal_expert_11'!F17</f>
        <v/>
      </c>
      <c r="G144">
        <f>'normal_expert_11'!G17</f>
        <v/>
      </c>
      <c r="H144">
        <f>'normal_expert_11'!B18</f>
        <v/>
      </c>
      <c r="I144">
        <f>'normal_expert_11'!H17</f>
        <v/>
      </c>
      <c r="J144">
        <f>'normal_expert_11'!B17</f>
        <v/>
      </c>
    </row>
    <row r="145">
      <c r="A145" t="inlineStr">
        <is>
          <t>normal_expert_12</t>
        </is>
      </c>
      <c r="B145">
        <f>'normal_expert_12'!$B$3</f>
        <v/>
      </c>
      <c r="C145">
        <f>'normal_expert_12'!$D$3</f>
        <v/>
      </c>
      <c r="D145">
        <f>'normal_expert_12'!E18</f>
        <v/>
      </c>
      <c r="E145">
        <f>'normal_expert_12'!D18</f>
        <v/>
      </c>
      <c r="F145">
        <f>'normal_expert_12'!F18</f>
        <v/>
      </c>
      <c r="G145">
        <f>'normal_expert_12'!G18</f>
        <v/>
      </c>
      <c r="H145">
        <f>'normal_expert_12'!B19</f>
        <v/>
      </c>
      <c r="I145">
        <f>'normal_expert_12'!H18</f>
        <v/>
      </c>
      <c r="J145">
        <f>'normal_expert_12'!B18</f>
        <v/>
      </c>
    </row>
    <row r="146">
      <c r="A146" t="inlineStr">
        <is>
          <t>normal_expert_13</t>
        </is>
      </c>
      <c r="B146">
        <f>'normal_expert_13'!$B$3</f>
        <v/>
      </c>
      <c r="C146">
        <f>'normal_expert_13'!$D$3</f>
        <v/>
      </c>
      <c r="D146">
        <f>'normal_expert_13'!E19</f>
        <v/>
      </c>
      <c r="E146">
        <f>'normal_expert_13'!D19</f>
        <v/>
      </c>
      <c r="F146">
        <f>'normal_expert_13'!F19</f>
        <v/>
      </c>
      <c r="G146">
        <f>'normal_expert_13'!G19</f>
        <v/>
      </c>
      <c r="H146">
        <f>'normal_expert_13'!B20</f>
        <v/>
      </c>
      <c r="I146">
        <f>'normal_expert_13'!H19</f>
        <v/>
      </c>
      <c r="J146">
        <f>'normal_expert_13'!B19</f>
        <v/>
      </c>
    </row>
    <row r="147">
      <c r="A147" t="inlineStr">
        <is>
          <t>normal_expert_14</t>
        </is>
      </c>
      <c r="B147">
        <f>'normal_expert_14'!$B$3</f>
        <v/>
      </c>
      <c r="C147">
        <f>'normal_expert_14'!$D$3</f>
        <v/>
      </c>
      <c r="D147">
        <f>'normal_expert_14'!E20</f>
        <v/>
      </c>
      <c r="E147">
        <f>'normal_expert_14'!D20</f>
        <v/>
      </c>
      <c r="F147">
        <f>'normal_expert_14'!F20</f>
        <v/>
      </c>
      <c r="G147">
        <f>'normal_expert_14'!G20</f>
        <v/>
      </c>
      <c r="H147">
        <f>'normal_expert_14'!B21</f>
        <v/>
      </c>
      <c r="I147">
        <f>'normal_expert_14'!H20</f>
        <v/>
      </c>
      <c r="J147">
        <f>'normal_expert_14'!B20</f>
        <v/>
      </c>
    </row>
    <row r="148">
      <c r="A148" t="inlineStr">
        <is>
          <t>normal_expert_15</t>
        </is>
      </c>
      <c r="B148">
        <f>'normal_expert_15'!$B$3</f>
        <v/>
      </c>
      <c r="C148">
        <f>'normal_expert_15'!$D$3</f>
        <v/>
      </c>
      <c r="D148">
        <f>'normal_expert_15'!E19</f>
        <v/>
      </c>
      <c r="E148">
        <f>'normal_expert_15'!D19</f>
        <v/>
      </c>
      <c r="F148">
        <f>'normal_expert_15'!F19</f>
        <v/>
      </c>
      <c r="G148">
        <f>'normal_expert_15'!G19</f>
        <v/>
      </c>
      <c r="H148">
        <f>'normal_expert_15'!B20</f>
        <v/>
      </c>
      <c r="I148">
        <f>'normal_expert_15'!H19</f>
        <v/>
      </c>
      <c r="J148">
        <f>'normal_expert_15'!B19</f>
        <v/>
      </c>
    </row>
    <row r="149">
      <c r="A149" t="inlineStr">
        <is>
          <t>normal_expert_16</t>
        </is>
      </c>
      <c r="B149">
        <f>'normal_expert_16'!$B$3</f>
        <v/>
      </c>
      <c r="C149">
        <f>'normal_expert_16'!$D$3</f>
        <v/>
      </c>
      <c r="D149">
        <f>'normal_expert_16'!E20</f>
        <v/>
      </c>
      <c r="E149">
        <f>'normal_expert_16'!D20</f>
        <v/>
      </c>
      <c r="F149">
        <f>'normal_expert_16'!F20</f>
        <v/>
      </c>
      <c r="G149">
        <f>'normal_expert_16'!G20</f>
        <v/>
      </c>
      <c r="H149">
        <f>'normal_expert_16'!B21</f>
        <v/>
      </c>
      <c r="I149">
        <f>'normal_expert_16'!H20</f>
        <v/>
      </c>
      <c r="J149">
        <f>'normal_expert_16'!B20</f>
        <v/>
      </c>
    </row>
    <row r="150">
      <c r="A150" t="inlineStr">
        <is>
          <t>normal_expert_8</t>
        </is>
      </c>
      <c r="B150">
        <f>'normal_expert_8'!$B$3</f>
        <v/>
      </c>
      <c r="C150">
        <f>'normal_expert_8'!$D$3</f>
        <v/>
      </c>
      <c r="D150">
        <f>'normal_expert_8'!E16</f>
        <v/>
      </c>
      <c r="E150">
        <f>'normal_expert_8'!D16</f>
        <v/>
      </c>
      <c r="F150">
        <f>'normal_expert_8'!F16</f>
        <v/>
      </c>
      <c r="G150">
        <f>'normal_expert_8'!G16</f>
        <v/>
      </c>
      <c r="H150">
        <f>'normal_expert_8'!B17</f>
        <v/>
      </c>
      <c r="I150">
        <f>'normal_expert_8'!H16</f>
        <v/>
      </c>
      <c r="J150">
        <f>'normal_expert_8'!B16</f>
        <v/>
      </c>
    </row>
    <row r="151">
      <c r="A151" t="inlineStr">
        <is>
          <t>normal_expert_9</t>
        </is>
      </c>
      <c r="B151">
        <f>'normal_expert_9'!$B$3</f>
        <v/>
      </c>
      <c r="C151">
        <f>'normal_expert_9'!$D$3</f>
        <v/>
      </c>
      <c r="D151">
        <f>'normal_expert_9'!E17</f>
        <v/>
      </c>
      <c r="E151">
        <f>'normal_expert_9'!D17</f>
        <v/>
      </c>
      <c r="F151">
        <f>'normal_expert_9'!F17</f>
        <v/>
      </c>
      <c r="G151">
        <f>'normal_expert_9'!G17</f>
        <v/>
      </c>
      <c r="H151">
        <f>'normal_expert_9'!B18</f>
        <v/>
      </c>
      <c r="I151">
        <f>'normal_expert_9'!H17</f>
        <v/>
      </c>
      <c r="J151">
        <f>'normal_expert_9'!B17</f>
        <v/>
      </c>
    </row>
    <row r="152">
      <c r="A152" t="inlineStr">
        <is>
          <t>normal_high_10</t>
        </is>
      </c>
      <c r="B152">
        <f>'normal_high_10'!$B$3</f>
        <v/>
      </c>
      <c r="C152">
        <f>'normal_high_10'!$D$3</f>
        <v/>
      </c>
      <c r="D152">
        <f>'normal_high_10'!E18</f>
        <v/>
      </c>
      <c r="E152">
        <f>'normal_high_10'!D18</f>
        <v/>
      </c>
      <c r="F152">
        <f>'normal_high_10'!F18</f>
        <v/>
      </c>
      <c r="G152">
        <f>'normal_high_10'!G18</f>
        <v/>
      </c>
      <c r="H152">
        <f>'normal_high_10'!B19</f>
        <v/>
      </c>
      <c r="I152">
        <f>'normal_high_10'!H18</f>
        <v/>
      </c>
      <c r="J152">
        <f>'normal_high_10'!B18</f>
        <v/>
      </c>
    </row>
    <row r="153">
      <c r="A153" t="inlineStr">
        <is>
          <t>normal_high_11</t>
        </is>
      </c>
      <c r="B153">
        <f>'normal_high_11'!$B$3</f>
        <v/>
      </c>
      <c r="C153">
        <f>'normal_high_11'!$D$3</f>
        <v/>
      </c>
      <c r="D153">
        <f>'normal_high_11'!E19</f>
        <v/>
      </c>
      <c r="E153">
        <f>'normal_high_11'!D19</f>
        <v/>
      </c>
      <c r="F153">
        <f>'normal_high_11'!F19</f>
        <v/>
      </c>
      <c r="G153">
        <f>'normal_high_11'!G19</f>
        <v/>
      </c>
      <c r="H153">
        <f>'normal_high_11'!B20</f>
        <v/>
      </c>
      <c r="I153">
        <f>'normal_high_11'!H19</f>
        <v/>
      </c>
      <c r="J153">
        <f>'normal_high_11'!B19</f>
        <v/>
      </c>
    </row>
    <row r="154">
      <c r="A154" t="inlineStr">
        <is>
          <t>normal_high_12</t>
        </is>
      </c>
      <c r="B154">
        <f>'normal_high_12'!$B$3</f>
        <v/>
      </c>
      <c r="C154">
        <f>'normal_high_12'!$D$3</f>
        <v/>
      </c>
      <c r="D154">
        <f>'normal_high_12'!E20</f>
        <v/>
      </c>
      <c r="E154">
        <f>'normal_high_12'!D20</f>
        <v/>
      </c>
      <c r="F154">
        <f>'normal_high_12'!F20</f>
        <v/>
      </c>
      <c r="G154">
        <f>'normal_high_12'!G20</f>
        <v/>
      </c>
      <c r="H154">
        <f>'normal_high_12'!B21</f>
        <v/>
      </c>
      <c r="I154">
        <f>'normal_high_12'!H20</f>
        <v/>
      </c>
      <c r="J154">
        <f>'normal_high_12'!B20</f>
        <v/>
      </c>
    </row>
    <row r="155">
      <c r="A155" t="inlineStr">
        <is>
          <t>normal_high_13</t>
        </is>
      </c>
      <c r="B155">
        <f>'normal_high_13'!$B$3</f>
        <v/>
      </c>
      <c r="C155">
        <f>'normal_high_13'!$D$3</f>
        <v/>
      </c>
      <c r="D155">
        <f>'normal_high_13'!E21</f>
        <v/>
      </c>
      <c r="E155">
        <f>'normal_high_13'!D21</f>
        <v/>
      </c>
      <c r="F155">
        <f>'normal_high_13'!F21</f>
        <v/>
      </c>
      <c r="G155">
        <f>'normal_high_13'!G21</f>
        <v/>
      </c>
      <c r="H155">
        <f>'normal_high_13'!B22</f>
        <v/>
      </c>
      <c r="I155">
        <f>'normal_high_13'!H21</f>
        <v/>
      </c>
      <c r="J155">
        <f>'normal_high_13'!B21</f>
        <v/>
      </c>
    </row>
    <row r="156">
      <c r="A156" t="inlineStr">
        <is>
          <t>normal_high_14</t>
        </is>
      </c>
      <c r="B156">
        <f>'normal_high_14'!$B$3</f>
        <v/>
      </c>
      <c r="C156">
        <f>'normal_high_14'!$D$3</f>
        <v/>
      </c>
      <c r="D156">
        <f>'normal_high_14'!E20</f>
        <v/>
      </c>
      <c r="E156">
        <f>'normal_high_14'!D20</f>
        <v/>
      </c>
      <c r="F156">
        <f>'normal_high_14'!F20</f>
        <v/>
      </c>
      <c r="G156">
        <f>'normal_high_14'!G20</f>
        <v/>
      </c>
      <c r="H156">
        <f>'normal_high_14'!B21</f>
        <v/>
      </c>
      <c r="I156">
        <f>'normal_high_14'!H20</f>
        <v/>
      </c>
      <c r="J156">
        <f>'normal_high_14'!B20</f>
        <v/>
      </c>
    </row>
    <row r="157">
      <c r="A157" t="inlineStr">
        <is>
          <t>normal_high_15</t>
        </is>
      </c>
      <c r="B157">
        <f>'normal_high_15'!$B$3</f>
        <v/>
      </c>
      <c r="C157">
        <f>'normal_high_15'!$D$3</f>
        <v/>
      </c>
      <c r="D157">
        <f>'normal_high_15'!E21</f>
        <v/>
      </c>
      <c r="E157">
        <f>'normal_high_15'!D21</f>
        <v/>
      </c>
      <c r="F157">
        <f>'normal_high_15'!F21</f>
        <v/>
      </c>
      <c r="G157">
        <f>'normal_high_15'!G21</f>
        <v/>
      </c>
      <c r="H157">
        <f>'normal_high_15'!B22</f>
        <v/>
      </c>
      <c r="I157">
        <f>'normal_high_15'!H21</f>
        <v/>
      </c>
      <c r="J157">
        <f>'normal_high_15'!B21</f>
        <v/>
      </c>
    </row>
    <row r="158">
      <c r="A158" t="inlineStr">
        <is>
          <t>normal_high_16</t>
        </is>
      </c>
      <c r="B158">
        <f>'normal_high_16'!$B$3</f>
        <v/>
      </c>
      <c r="C158">
        <f>'normal_high_16'!$D$3</f>
        <v/>
      </c>
      <c r="D158">
        <f>'normal_high_16'!E22</f>
        <v/>
      </c>
      <c r="E158">
        <f>'normal_high_16'!D22</f>
        <v/>
      </c>
      <c r="F158">
        <f>'normal_high_16'!F22</f>
        <v/>
      </c>
      <c r="G158">
        <f>'normal_high_16'!G22</f>
        <v/>
      </c>
      <c r="H158">
        <f>'normal_high_16'!B23</f>
        <v/>
      </c>
      <c r="I158">
        <f>'normal_high_16'!H22</f>
        <v/>
      </c>
      <c r="J158">
        <f>'normal_high_16'!B22</f>
        <v/>
      </c>
    </row>
    <row r="159">
      <c r="A159" t="inlineStr">
        <is>
          <t>normal_high_8</t>
        </is>
      </c>
      <c r="B159">
        <f>'normal_high_8'!$B$3</f>
        <v/>
      </c>
      <c r="C159">
        <f>'normal_high_8'!$D$3</f>
        <v/>
      </c>
      <c r="D159">
        <f>'normal_high_8'!E17</f>
        <v/>
      </c>
      <c r="E159">
        <f>'normal_high_8'!D17</f>
        <v/>
      </c>
      <c r="F159">
        <f>'normal_high_8'!F17</f>
        <v/>
      </c>
      <c r="G159">
        <f>'normal_high_8'!G17</f>
        <v/>
      </c>
      <c r="H159">
        <f>'normal_high_8'!B18</f>
        <v/>
      </c>
      <c r="I159">
        <f>'normal_high_8'!H17</f>
        <v/>
      </c>
      <c r="J159">
        <f>'normal_high_8'!B17</f>
        <v/>
      </c>
    </row>
    <row r="160">
      <c r="A160" t="inlineStr">
        <is>
          <t>normal_high_9</t>
        </is>
      </c>
      <c r="B160">
        <f>'normal_high_9'!$B$3</f>
        <v/>
      </c>
      <c r="C160">
        <f>'normal_high_9'!$D$3</f>
        <v/>
      </c>
      <c r="D160">
        <f>'normal_high_9'!E17</f>
        <v/>
      </c>
      <c r="E160">
        <f>'normal_high_9'!D17</f>
        <v/>
      </c>
      <c r="F160">
        <f>'normal_high_9'!F17</f>
        <v/>
      </c>
      <c r="G160">
        <f>'normal_high_9'!G17</f>
        <v/>
      </c>
      <c r="H160">
        <f>'normal_high_9'!B18</f>
        <v/>
      </c>
      <c r="I160">
        <f>'normal_high_9'!H17</f>
        <v/>
      </c>
      <c r="J160">
        <f>'normal_high_9'!B17</f>
        <v/>
      </c>
    </row>
    <row r="161">
      <c r="A161" t="inlineStr">
        <is>
          <t>normal_low_10</t>
        </is>
      </c>
      <c r="B161">
        <f>'normal_low_10'!$B$3</f>
        <v/>
      </c>
      <c r="C161">
        <f>'normal_low_10'!$D$3</f>
        <v/>
      </c>
      <c r="D161">
        <f>'normal_low_10'!E19</f>
        <v/>
      </c>
      <c r="E161">
        <f>'normal_low_10'!D19</f>
        <v/>
      </c>
      <c r="F161">
        <f>'normal_low_10'!F19</f>
        <v/>
      </c>
      <c r="G161">
        <f>'normal_low_10'!G19</f>
        <v/>
      </c>
      <c r="H161">
        <f>'normal_low_10'!B20</f>
        <v/>
      </c>
      <c r="I161">
        <f>'normal_low_10'!H19</f>
        <v/>
      </c>
      <c r="J161">
        <f>'normal_low_10'!B19</f>
        <v/>
      </c>
    </row>
    <row r="162">
      <c r="A162" t="inlineStr">
        <is>
          <t>normal_low_11</t>
        </is>
      </c>
      <c r="B162">
        <f>'normal_low_11'!$B$3</f>
        <v/>
      </c>
      <c r="C162">
        <f>'normal_low_11'!$D$3</f>
        <v/>
      </c>
      <c r="D162">
        <f>'normal_low_11'!E19</f>
        <v/>
      </c>
      <c r="E162">
        <f>'normal_low_11'!D19</f>
        <v/>
      </c>
      <c r="F162">
        <f>'normal_low_11'!F19</f>
        <v/>
      </c>
      <c r="G162">
        <f>'normal_low_11'!G19</f>
        <v/>
      </c>
      <c r="H162">
        <f>'normal_low_11'!B20</f>
        <v/>
      </c>
      <c r="I162">
        <f>'normal_low_11'!H19</f>
        <v/>
      </c>
      <c r="J162">
        <f>'normal_low_11'!B19</f>
        <v/>
      </c>
    </row>
    <row r="163">
      <c r="A163" t="inlineStr">
        <is>
          <t>normal_low_12</t>
        </is>
      </c>
      <c r="B163">
        <f>'normal_low_12'!$B$3</f>
        <v/>
      </c>
      <c r="C163">
        <f>'normal_low_12'!$D$3</f>
        <v/>
      </c>
      <c r="D163">
        <f>'normal_low_12'!E20</f>
        <v/>
      </c>
      <c r="E163">
        <f>'normal_low_12'!D20</f>
        <v/>
      </c>
      <c r="F163">
        <f>'normal_low_12'!F20</f>
        <v/>
      </c>
      <c r="G163">
        <f>'normal_low_12'!G20</f>
        <v/>
      </c>
      <c r="H163">
        <f>'normal_low_12'!B21</f>
        <v/>
      </c>
      <c r="I163">
        <f>'normal_low_12'!H20</f>
        <v/>
      </c>
      <c r="J163">
        <f>'normal_low_12'!B20</f>
        <v/>
      </c>
    </row>
    <row r="164">
      <c r="A164" t="inlineStr">
        <is>
          <t>normal_low_13</t>
        </is>
      </c>
      <c r="B164">
        <f>'normal_low_13'!$B$3</f>
        <v/>
      </c>
      <c r="C164">
        <f>'normal_low_13'!$D$3</f>
        <v/>
      </c>
      <c r="D164">
        <f>'normal_low_13'!E22</f>
        <v/>
      </c>
      <c r="E164">
        <f>'normal_low_13'!D22</f>
        <v/>
      </c>
      <c r="F164">
        <f>'normal_low_13'!F22</f>
        <v/>
      </c>
      <c r="G164">
        <f>'normal_low_13'!G22</f>
        <v/>
      </c>
      <c r="H164">
        <f>'normal_low_13'!B23</f>
        <v/>
      </c>
      <c r="I164">
        <f>'normal_low_13'!H22</f>
        <v/>
      </c>
      <c r="J164">
        <f>'normal_low_13'!B22</f>
        <v/>
      </c>
    </row>
    <row r="165">
      <c r="A165" t="inlineStr">
        <is>
          <t>normal_low_14</t>
        </is>
      </c>
      <c r="B165">
        <f>'normal_low_14'!$B$3</f>
        <v/>
      </c>
      <c r="C165">
        <f>'normal_low_14'!$D$3</f>
        <v/>
      </c>
      <c r="D165">
        <f>'normal_low_14'!E22</f>
        <v/>
      </c>
      <c r="E165">
        <f>'normal_low_14'!D22</f>
        <v/>
      </c>
      <c r="F165">
        <f>'normal_low_14'!F22</f>
        <v/>
      </c>
      <c r="G165">
        <f>'normal_low_14'!G22</f>
        <v/>
      </c>
      <c r="H165">
        <f>'normal_low_14'!B23</f>
        <v/>
      </c>
      <c r="I165">
        <f>'normal_low_14'!H22</f>
        <v/>
      </c>
      <c r="J165">
        <f>'normal_low_14'!B22</f>
        <v/>
      </c>
    </row>
    <row r="166">
      <c r="A166" t="inlineStr">
        <is>
          <t>normal_low_15</t>
        </is>
      </c>
      <c r="B166">
        <f>'normal_low_15'!$B$3</f>
        <v/>
      </c>
      <c r="C166">
        <f>'normal_low_15'!$D$3</f>
        <v/>
      </c>
      <c r="D166">
        <f>'normal_low_15'!E21</f>
        <v/>
      </c>
      <c r="E166">
        <f>'normal_low_15'!D21</f>
        <v/>
      </c>
      <c r="F166">
        <f>'normal_low_15'!F21</f>
        <v/>
      </c>
      <c r="G166">
        <f>'normal_low_15'!G21</f>
        <v/>
      </c>
      <c r="H166">
        <f>'normal_low_15'!B22</f>
        <v/>
      </c>
      <c r="I166">
        <f>'normal_low_15'!H21</f>
        <v/>
      </c>
      <c r="J166">
        <f>'normal_low_15'!B21</f>
        <v/>
      </c>
    </row>
    <row r="167">
      <c r="A167" t="inlineStr">
        <is>
          <t>normal_low_16</t>
        </is>
      </c>
      <c r="B167">
        <f>'normal_low_16'!$B$3</f>
        <v/>
      </c>
      <c r="C167">
        <f>'normal_low_16'!$D$3</f>
        <v/>
      </c>
      <c r="D167">
        <f>'normal_low_16'!E22</f>
        <v/>
      </c>
      <c r="E167">
        <f>'normal_low_16'!D22</f>
        <v/>
      </c>
      <c r="F167">
        <f>'normal_low_16'!F22</f>
        <v/>
      </c>
      <c r="G167">
        <f>'normal_low_16'!G22</f>
        <v/>
      </c>
      <c r="H167">
        <f>'normal_low_16'!B23</f>
        <v/>
      </c>
      <c r="I167">
        <f>'normal_low_16'!H22</f>
        <v/>
      </c>
      <c r="J167">
        <f>'normal_low_16'!B22</f>
        <v/>
      </c>
    </row>
    <row r="168">
      <c r="A168" t="inlineStr">
        <is>
          <t>normal_low_8</t>
        </is>
      </c>
      <c r="B168">
        <f>'normal_low_8'!$B$3</f>
        <v/>
      </c>
      <c r="C168">
        <f>'normal_low_8'!$D$3</f>
        <v/>
      </c>
      <c r="D168">
        <f>'normal_low_8'!E17</f>
        <v/>
      </c>
      <c r="E168">
        <f>'normal_low_8'!D17</f>
        <v/>
      </c>
      <c r="F168">
        <f>'normal_low_8'!F17</f>
        <v/>
      </c>
      <c r="G168">
        <f>'normal_low_8'!G17</f>
        <v/>
      </c>
      <c r="H168">
        <f>'normal_low_8'!B18</f>
        <v/>
      </c>
      <c r="I168">
        <f>'normal_low_8'!H17</f>
        <v/>
      </c>
      <c r="J168">
        <f>'normal_low_8'!B17</f>
        <v/>
      </c>
    </row>
    <row r="169">
      <c r="A169" t="inlineStr">
        <is>
          <t>normal_low_9</t>
        </is>
      </c>
      <c r="B169">
        <f>'normal_low_9'!$B$3</f>
        <v/>
      </c>
      <c r="C169">
        <f>'normal_low_9'!$D$3</f>
        <v/>
      </c>
      <c r="D169">
        <f>'normal_low_9'!E18</f>
        <v/>
      </c>
      <c r="E169">
        <f>'normal_low_9'!D18</f>
        <v/>
      </c>
      <c r="F169">
        <f>'normal_low_9'!F18</f>
        <v/>
      </c>
      <c r="G169">
        <f>'normal_low_9'!G18</f>
        <v/>
      </c>
      <c r="H169">
        <f>'normal_low_9'!B19</f>
        <v/>
      </c>
      <c r="I169">
        <f>'normal_low_9'!H18</f>
        <v/>
      </c>
      <c r="J169">
        <f>'normal_low_9'!B18</f>
        <v/>
      </c>
    </row>
    <row r="170">
      <c r="A170" t="inlineStr">
        <is>
          <t>normal_medium_10</t>
        </is>
      </c>
      <c r="B170">
        <f>'normal_medium_10'!$B$3</f>
        <v/>
      </c>
      <c r="C170">
        <f>'normal_medium_10'!$D$3</f>
        <v/>
      </c>
      <c r="D170">
        <f>'normal_medium_10'!E18</f>
        <v/>
      </c>
      <c r="E170">
        <f>'normal_medium_10'!D18</f>
        <v/>
      </c>
      <c r="F170">
        <f>'normal_medium_10'!F18</f>
        <v/>
      </c>
      <c r="G170">
        <f>'normal_medium_10'!G18</f>
        <v/>
      </c>
      <c r="H170">
        <f>'normal_medium_10'!B19</f>
        <v/>
      </c>
      <c r="I170">
        <f>'normal_medium_10'!H18</f>
        <v/>
      </c>
      <c r="J170">
        <f>'normal_medium_10'!B18</f>
        <v/>
      </c>
    </row>
    <row r="171">
      <c r="A171" t="inlineStr">
        <is>
          <t>normal_medium_11</t>
        </is>
      </c>
      <c r="B171">
        <f>'normal_medium_11'!$B$3</f>
        <v/>
      </c>
      <c r="C171">
        <f>'normal_medium_11'!$D$3</f>
        <v/>
      </c>
      <c r="D171">
        <f>'normal_medium_11'!E19</f>
        <v/>
      </c>
      <c r="E171">
        <f>'normal_medium_11'!D19</f>
        <v/>
      </c>
      <c r="F171">
        <f>'normal_medium_11'!F19</f>
        <v/>
      </c>
      <c r="G171">
        <f>'normal_medium_11'!G19</f>
        <v/>
      </c>
      <c r="H171">
        <f>'normal_medium_11'!B20</f>
        <v/>
      </c>
      <c r="I171">
        <f>'normal_medium_11'!H19</f>
        <v/>
      </c>
      <c r="J171">
        <f>'normal_medium_11'!B19</f>
        <v/>
      </c>
    </row>
    <row r="172">
      <c r="A172" t="inlineStr">
        <is>
          <t>normal_medium_12</t>
        </is>
      </c>
      <c r="B172">
        <f>'normal_medium_12'!$B$3</f>
        <v/>
      </c>
      <c r="C172">
        <f>'normal_medium_12'!$D$3</f>
        <v/>
      </c>
      <c r="D172">
        <f>'normal_medium_12'!E20</f>
        <v/>
      </c>
      <c r="E172">
        <f>'normal_medium_12'!D20</f>
        <v/>
      </c>
      <c r="F172">
        <f>'normal_medium_12'!F20</f>
        <v/>
      </c>
      <c r="G172">
        <f>'normal_medium_12'!G20</f>
        <v/>
      </c>
      <c r="H172">
        <f>'normal_medium_12'!B21</f>
        <v/>
      </c>
      <c r="I172">
        <f>'normal_medium_12'!H20</f>
        <v/>
      </c>
      <c r="J172">
        <f>'normal_medium_12'!B20</f>
        <v/>
      </c>
    </row>
    <row r="173">
      <c r="A173" t="inlineStr">
        <is>
          <t>normal_medium_13</t>
        </is>
      </c>
      <c r="B173">
        <f>'normal_medium_13'!$B$3</f>
        <v/>
      </c>
      <c r="C173">
        <f>'normal_medium_13'!$D$3</f>
        <v/>
      </c>
      <c r="D173">
        <f>'normal_medium_13'!E21</f>
        <v/>
      </c>
      <c r="E173">
        <f>'normal_medium_13'!D21</f>
        <v/>
      </c>
      <c r="F173">
        <f>'normal_medium_13'!F21</f>
        <v/>
      </c>
      <c r="G173">
        <f>'normal_medium_13'!G21</f>
        <v/>
      </c>
      <c r="H173">
        <f>'normal_medium_13'!B22</f>
        <v/>
      </c>
      <c r="I173">
        <f>'normal_medium_13'!H21</f>
        <v/>
      </c>
      <c r="J173">
        <f>'normal_medium_13'!B21</f>
        <v/>
      </c>
    </row>
    <row r="174">
      <c r="A174" t="inlineStr">
        <is>
          <t>normal_medium_14</t>
        </is>
      </c>
      <c r="B174">
        <f>'normal_medium_14'!$B$3</f>
        <v/>
      </c>
      <c r="C174">
        <f>'normal_medium_14'!$D$3</f>
        <v/>
      </c>
      <c r="D174">
        <f>'normal_medium_14'!E22</f>
        <v/>
      </c>
      <c r="E174">
        <f>'normal_medium_14'!D22</f>
        <v/>
      </c>
      <c r="F174">
        <f>'normal_medium_14'!F22</f>
        <v/>
      </c>
      <c r="G174">
        <f>'normal_medium_14'!G22</f>
        <v/>
      </c>
      <c r="H174">
        <f>'normal_medium_14'!B23</f>
        <v/>
      </c>
      <c r="I174">
        <f>'normal_medium_14'!H22</f>
        <v/>
      </c>
      <c r="J174">
        <f>'normal_medium_14'!B22</f>
        <v/>
      </c>
    </row>
    <row r="175">
      <c r="A175" t="inlineStr">
        <is>
          <t>normal_medium_15</t>
        </is>
      </c>
      <c r="B175">
        <f>'normal_medium_15'!$B$3</f>
        <v/>
      </c>
      <c r="C175">
        <f>'normal_medium_15'!$D$3</f>
        <v/>
      </c>
      <c r="D175">
        <f>'normal_medium_15'!E23</f>
        <v/>
      </c>
      <c r="E175">
        <f>'normal_medium_15'!D23</f>
        <v/>
      </c>
      <c r="F175">
        <f>'normal_medium_15'!F23</f>
        <v/>
      </c>
      <c r="G175">
        <f>'normal_medium_15'!G23</f>
        <v/>
      </c>
      <c r="H175">
        <f>'normal_medium_15'!B24</f>
        <v/>
      </c>
      <c r="I175">
        <f>'normal_medium_15'!H23</f>
        <v/>
      </c>
      <c r="J175">
        <f>'normal_medium_15'!B23</f>
        <v/>
      </c>
    </row>
    <row r="176">
      <c r="A176" t="inlineStr">
        <is>
          <t>normal_medium_16</t>
        </is>
      </c>
      <c r="B176">
        <f>'normal_medium_16'!$B$3</f>
        <v/>
      </c>
      <c r="C176">
        <f>'normal_medium_16'!$D$3</f>
        <v/>
      </c>
      <c r="D176">
        <f>'normal_medium_16'!E22</f>
        <v/>
      </c>
      <c r="E176">
        <f>'normal_medium_16'!D22</f>
        <v/>
      </c>
      <c r="F176">
        <f>'normal_medium_16'!F22</f>
        <v/>
      </c>
      <c r="G176">
        <f>'normal_medium_16'!G22</f>
        <v/>
      </c>
      <c r="H176">
        <f>'normal_medium_16'!B23</f>
        <v/>
      </c>
      <c r="I176">
        <f>'normal_medium_16'!H22</f>
        <v/>
      </c>
      <c r="J176">
        <f>'normal_medium_16'!B22</f>
        <v/>
      </c>
    </row>
    <row r="177">
      <c r="A177" t="inlineStr">
        <is>
          <t>normal_medium_8</t>
        </is>
      </c>
      <c r="B177">
        <f>'normal_medium_8'!$B$3</f>
        <v/>
      </c>
      <c r="C177">
        <f>'normal_medium_8'!$D$3</f>
        <v/>
      </c>
      <c r="D177">
        <f>'normal_medium_8'!E17</f>
        <v/>
      </c>
      <c r="E177">
        <f>'normal_medium_8'!D17</f>
        <v/>
      </c>
      <c r="F177">
        <f>'normal_medium_8'!F17</f>
        <v/>
      </c>
      <c r="G177">
        <f>'normal_medium_8'!G17</f>
        <v/>
      </c>
      <c r="H177">
        <f>'normal_medium_8'!B18</f>
        <v/>
      </c>
      <c r="I177">
        <f>'normal_medium_8'!H17</f>
        <v/>
      </c>
      <c r="J177">
        <f>'normal_medium_8'!B17</f>
        <v/>
      </c>
    </row>
    <row r="178">
      <c r="A178" t="inlineStr">
        <is>
          <t>normal_medium_9</t>
        </is>
      </c>
      <c r="B178">
        <f>'normal_medium_9'!$B$3</f>
        <v/>
      </c>
      <c r="C178">
        <f>'normal_medium_9'!$D$3</f>
        <v/>
      </c>
      <c r="D178">
        <f>'normal_medium_9'!E18</f>
        <v/>
      </c>
      <c r="E178">
        <f>'normal_medium_9'!D18</f>
        <v/>
      </c>
      <c r="F178">
        <f>'normal_medium_9'!F18</f>
        <v/>
      </c>
      <c r="G178">
        <f>'normal_medium_9'!G18</f>
        <v/>
      </c>
      <c r="H178">
        <f>'normal_medium_9'!B19</f>
        <v/>
      </c>
      <c r="I178">
        <f>'normal_medium_9'!H18</f>
        <v/>
      </c>
      <c r="J178">
        <f>'normal_medium_9'!B18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16918</v>
      </c>
      <c r="C7" t="n">
        <v>198000</v>
      </c>
      <c r="D7">
        <f>C7/$H$3</f>
        <v/>
      </c>
      <c r="E7">
        <f>IF($B$16&gt;0,B7/$B$16,0)</f>
        <v/>
      </c>
      <c r="F7">
        <f>D7*E7</f>
        <v/>
      </c>
      <c r="G7">
        <f>E7</f>
        <v/>
      </c>
    </row>
    <row r="8">
      <c r="A8" t="n">
        <v>4</v>
      </c>
      <c r="B8" t="n">
        <v>186113</v>
      </c>
      <c r="C8" t="n">
        <v>5940</v>
      </c>
      <c r="D8">
        <f>C8/$H$3</f>
        <v/>
      </c>
      <c r="E8">
        <f>IF($B$16&gt;0,B8/$B$16,0)</f>
        <v/>
      </c>
      <c r="F8">
        <f>D8*E8</f>
        <v/>
      </c>
      <c r="G8">
        <f>G7+E8</f>
        <v/>
      </c>
    </row>
    <row r="9">
      <c r="A9" t="n">
        <v>5</v>
      </c>
      <c r="B9" t="n">
        <v>197979</v>
      </c>
      <c r="C9" t="n">
        <v>990</v>
      </c>
      <c r="D9">
        <f>C9/$H$3</f>
        <v/>
      </c>
      <c r="E9">
        <f>IF($B$16&gt;0,B9/$B$16,0)</f>
        <v/>
      </c>
      <c r="F9">
        <f>D9*E9</f>
        <v/>
      </c>
      <c r="G9">
        <f>G8+E9</f>
        <v/>
      </c>
    </row>
    <row r="10">
      <c r="A10" t="n">
        <v>6</v>
      </c>
      <c r="B10" t="n">
        <v>197979</v>
      </c>
      <c r="C10" t="n">
        <v>990</v>
      </c>
      <c r="D10">
        <f>C10/$H$3</f>
        <v/>
      </c>
      <c r="E10">
        <f>IF($B$16&gt;0,B10/$B$16,0)</f>
        <v/>
      </c>
      <c r="F10">
        <f>D10*E10</f>
        <v/>
      </c>
      <c r="G10">
        <f>G9+E10</f>
        <v/>
      </c>
    </row>
    <row r="11">
      <c r="A11" t="n">
        <v>7</v>
      </c>
      <c r="B11" t="n">
        <v>197979</v>
      </c>
      <c r="C11" t="n">
        <v>990</v>
      </c>
      <c r="D11">
        <f>C11/$H$3</f>
        <v/>
      </c>
      <c r="E11">
        <f>IF($B$16&gt;0,B11/$B$16,0)</f>
        <v/>
      </c>
      <c r="F11">
        <f>D11*E11</f>
        <v/>
      </c>
      <c r="G11">
        <f>G10+E11</f>
        <v/>
      </c>
    </row>
    <row r="12">
      <c r="A12" t="n">
        <v>8</v>
      </c>
      <c r="B12" t="n">
        <v>186113</v>
      </c>
      <c r="C12" t="n">
        <v>5940</v>
      </c>
      <c r="D12">
        <f>C12/$H$3</f>
        <v/>
      </c>
      <c r="E12">
        <f>IF($B$16&gt;0,B12/$B$16,0)</f>
        <v/>
      </c>
      <c r="F12">
        <f>D12*E12</f>
        <v/>
      </c>
      <c r="G12">
        <f>G11+E12</f>
        <v/>
      </c>
    </row>
    <row r="13">
      <c r="A13" t="n">
        <v>9</v>
      </c>
      <c r="B13" t="n">
        <v>16918</v>
      </c>
      <c r="C13" t="n">
        <v>198000</v>
      </c>
      <c r="D13">
        <f>C13/$H$3</f>
        <v/>
      </c>
      <c r="E13">
        <f>IF($B$16&gt;0,B13/$B$16,0)</f>
        <v/>
      </c>
      <c r="F13">
        <f>D13*E13</f>
        <v/>
      </c>
      <c r="G13">
        <f>G12+E13</f>
        <v/>
      </c>
    </row>
    <row r="14">
      <c r="A14" t="n">
        <v>11</v>
      </c>
      <c r="B14" t="n">
        <v>1</v>
      </c>
      <c r="C14" t="n">
        <v>10000000</v>
      </c>
      <c r="D14">
        <f>C14/$H$3</f>
        <v/>
      </c>
      <c r="E14">
        <f>IF($B$16&gt;0,B14/$B$16,0)</f>
        <v/>
      </c>
      <c r="F14">
        <f>D14*E14</f>
        <v/>
      </c>
      <c r="G14">
        <f>G13+E14</f>
        <v/>
      </c>
    </row>
    <row r="16">
      <c r="A16" s="3" t="inlineStr">
        <is>
          <t>CHECK_SUMS</t>
        </is>
      </c>
      <c r="B16">
        <f>SUM(B7:B14)</f>
        <v/>
      </c>
      <c r="C16" t="inlineStr">
        <is>
          <t>payout_raw_sum</t>
        </is>
      </c>
      <c r="D16">
        <f>SUM(D7:D14)</f>
        <v/>
      </c>
      <c r="E16">
        <f>SUM(E7:E14)</f>
        <v/>
      </c>
      <c r="F16">
        <f>SUM(F7:F14)</f>
        <v/>
      </c>
      <c r="G16">
        <f>IF($B$3&gt;0,F16/$B$3,0)</f>
        <v/>
      </c>
      <c r="H16">
        <f>IF($D$3="","N/A",ABS(G16-$D$3)&lt;=$F$3)</f>
        <v/>
      </c>
    </row>
    <row r="17">
      <c r="A17" t="inlineStr">
        <is>
          <t>rtp_drift</t>
        </is>
      </c>
      <c r="B17">
        <f>IF($D$3="","",G16-$D$3)</f>
        <v/>
      </c>
    </row>
    <row r="18">
      <c r="A18" t="inlineStr">
        <is>
          <t>prob_sum_check</t>
        </is>
      </c>
      <c r="B18">
        <f>ABS(E16-1)&lt;=1E-9</f>
        <v/>
      </c>
    </row>
    <row r="19">
      <c r="A19" t="inlineStr">
        <is>
          <t>max_win_value</t>
        </is>
      </c>
      <c r="B19">
        <f>MAX(D7:D14)</f>
        <v/>
      </c>
    </row>
    <row r="20">
      <c r="A20" t="inlineStr">
        <is>
          <t>max_win_probability</t>
        </is>
      </c>
      <c r="B20">
        <f>SUMIFS(E7:E14,D7:D14,B19)</f>
        <v/>
      </c>
    </row>
    <row r="21">
      <c r="A21" t="inlineStr">
        <is>
          <t>outcome_rows</t>
        </is>
      </c>
      <c r="B21">
        <f>ROWS(A7:A14)</f>
        <v/>
      </c>
    </row>
    <row r="22">
      <c r="A22" t="inlineStr">
        <is>
          <t>unique_multipliers</t>
        </is>
      </c>
      <c r="B22">
        <f>SUMPRODUCT(1/COUNTIF(D7:D14,D7:D14))</f>
        <v/>
      </c>
    </row>
    <row r="23">
      <c r="A23" t="inlineStr">
        <is>
          <t>max_exposure_with_max_bet</t>
        </is>
      </c>
      <c r="B23">
        <f>B19*500.0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6436</v>
      </c>
      <c r="C7" t="n">
        <v>396000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4</v>
      </c>
      <c r="B8" t="n">
        <v>156093</v>
      </c>
      <c r="C8" t="n">
        <v>10890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5</v>
      </c>
      <c r="B9" t="n">
        <v>168044</v>
      </c>
      <c r="C9" t="n">
        <v>1980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6</v>
      </c>
      <c r="B10" t="n">
        <v>169427</v>
      </c>
      <c r="C10" t="n">
        <v>990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7</v>
      </c>
      <c r="B11" t="n">
        <v>169427</v>
      </c>
      <c r="C11" t="n">
        <v>990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8</v>
      </c>
      <c r="B12" t="n">
        <v>168043</v>
      </c>
      <c r="C12" t="n">
        <v>1980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9</v>
      </c>
      <c r="B13" t="n">
        <v>156093</v>
      </c>
      <c r="C13" t="n">
        <v>10890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10</v>
      </c>
      <c r="B14" t="n">
        <v>6436</v>
      </c>
      <c r="C14" t="n">
        <v>396000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12</v>
      </c>
      <c r="B15" t="n">
        <v>1</v>
      </c>
      <c r="C15" t="n">
        <v>10000000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3327</v>
      </c>
      <c r="C7" t="n">
        <v>594000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4</v>
      </c>
      <c r="B8" t="n">
        <v>133852</v>
      </c>
      <c r="C8" t="n">
        <v>14850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5</v>
      </c>
      <c r="B9" t="n">
        <v>143482</v>
      </c>
      <c r="C9" t="n">
        <v>3960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6</v>
      </c>
      <c r="B10" t="n">
        <v>146226</v>
      </c>
      <c r="C10" t="n">
        <v>990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7</v>
      </c>
      <c r="B11" t="n">
        <v>146226</v>
      </c>
      <c r="C11" t="n">
        <v>990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8</v>
      </c>
      <c r="B12" t="n">
        <v>146226</v>
      </c>
      <c r="C12" t="n">
        <v>990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9</v>
      </c>
      <c r="B13" t="n">
        <v>143481</v>
      </c>
      <c r="C13" t="n">
        <v>3960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10</v>
      </c>
      <c r="B14" t="n">
        <v>133852</v>
      </c>
      <c r="C14" t="n">
        <v>14850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11</v>
      </c>
      <c r="B15" t="n">
        <v>3327</v>
      </c>
      <c r="C15" t="n">
        <v>594000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13</v>
      </c>
      <c r="B16" t="n">
        <v>1</v>
      </c>
      <c r="C16" t="n">
        <v>10000000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447</v>
      </c>
      <c r="C7" t="n">
        <v>990000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4</v>
      </c>
      <c r="B8" t="n">
        <v>110896</v>
      </c>
      <c r="C8" t="n">
        <v>29700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5</v>
      </c>
      <c r="B9" t="n">
        <v>127109</v>
      </c>
      <c r="C9" t="n">
        <v>5940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6</v>
      </c>
      <c r="B10" t="n">
        <v>130774</v>
      </c>
      <c r="C10" t="n">
        <v>990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7</v>
      </c>
      <c r="B11" t="n">
        <v>130774</v>
      </c>
      <c r="C11" t="n">
        <v>990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8</v>
      </c>
      <c r="B12" t="n">
        <v>130774</v>
      </c>
      <c r="C12" t="n">
        <v>990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9</v>
      </c>
      <c r="B13" t="n">
        <v>130774</v>
      </c>
      <c r="C13" t="n">
        <v>990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10</v>
      </c>
      <c r="B14" t="n">
        <v>127109</v>
      </c>
      <c r="C14" t="n">
        <v>5940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11</v>
      </c>
      <c r="B15" t="n">
        <v>110895</v>
      </c>
      <c r="C15" t="n">
        <v>29700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12</v>
      </c>
      <c r="B16" t="n">
        <v>447</v>
      </c>
      <c r="C16" t="n">
        <v>990000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14</v>
      </c>
      <c r="B17" t="n">
        <v>1</v>
      </c>
      <c r="C17" t="n">
        <v>10000000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39</v>
      </c>
      <c r="C7" t="n">
        <v>1584000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4</v>
      </c>
      <c r="B8" t="n">
        <v>100403</v>
      </c>
      <c r="C8" t="n">
        <v>29700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5</v>
      </c>
      <c r="B9" t="n">
        <v>109878</v>
      </c>
      <c r="C9" t="n">
        <v>11880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6</v>
      </c>
      <c r="B10" t="n">
        <v>115524</v>
      </c>
      <c r="C10" t="n">
        <v>1980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7</v>
      </c>
      <c r="B11" t="n">
        <v>116104</v>
      </c>
      <c r="C11" t="n">
        <v>990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8</v>
      </c>
      <c r="B12" t="n">
        <v>116104</v>
      </c>
      <c r="C12" t="n">
        <v>990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9</v>
      </c>
      <c r="B13" t="n">
        <v>116104</v>
      </c>
      <c r="C13" t="n">
        <v>990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10</v>
      </c>
      <c r="B14" t="n">
        <v>115524</v>
      </c>
      <c r="C14" t="n">
        <v>1980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11</v>
      </c>
      <c r="B15" t="n">
        <v>109878</v>
      </c>
      <c r="C15" t="n">
        <v>11880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12</v>
      </c>
      <c r="B16" t="n">
        <v>100403</v>
      </c>
      <c r="C16" t="n">
        <v>29700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13</v>
      </c>
      <c r="B17" t="n">
        <v>38</v>
      </c>
      <c r="C17" t="n">
        <v>1584000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15</v>
      </c>
      <c r="B18" t="n">
        <v>1</v>
      </c>
      <c r="C18" t="n">
        <v>10000000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4</v>
      </c>
      <c r="B7" t="n">
        <v>44501</v>
      </c>
      <c r="C7" t="n">
        <v>59400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5</v>
      </c>
      <c r="B8" t="n">
        <v>91285</v>
      </c>
      <c r="C8" t="n">
        <v>17820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6</v>
      </c>
      <c r="B9" t="n">
        <v>120024</v>
      </c>
      <c r="C9" t="n">
        <v>1980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7</v>
      </c>
      <c r="B10" t="n">
        <v>122095</v>
      </c>
      <c r="C10" t="n">
        <v>990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8</v>
      </c>
      <c r="B11" t="n">
        <v>122095</v>
      </c>
      <c r="C11" t="n">
        <v>990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9</v>
      </c>
      <c r="B12" t="n">
        <v>122095</v>
      </c>
      <c r="C12" t="n">
        <v>990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10</v>
      </c>
      <c r="B13" t="n">
        <v>122094</v>
      </c>
      <c r="C13" t="n">
        <v>990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11</v>
      </c>
      <c r="B14" t="n">
        <v>120024</v>
      </c>
      <c r="C14" t="n">
        <v>1980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12</v>
      </c>
      <c r="B15" t="n">
        <v>91285</v>
      </c>
      <c r="C15" t="n">
        <v>17820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13</v>
      </c>
      <c r="B16" t="n">
        <v>44501</v>
      </c>
      <c r="C16" t="n">
        <v>59400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16</v>
      </c>
      <c r="B17" t="n">
        <v>1</v>
      </c>
      <c r="C17" t="n">
        <v>10000000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4</v>
      </c>
      <c r="B7" t="n">
        <v>23897</v>
      </c>
      <c r="C7" t="n">
        <v>69300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5</v>
      </c>
      <c r="B8" t="n">
        <v>69779</v>
      </c>
      <c r="C8" t="n">
        <v>24750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6</v>
      </c>
      <c r="B9" t="n">
        <v>97389</v>
      </c>
      <c r="C9" t="n">
        <v>10890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7</v>
      </c>
      <c r="B10" t="n">
        <v>123574</v>
      </c>
      <c r="C10" t="n">
        <v>990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8</v>
      </c>
      <c r="B11" t="n">
        <v>123574</v>
      </c>
      <c r="C11" t="n">
        <v>990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9</v>
      </c>
      <c r="B12" t="n">
        <v>123574</v>
      </c>
      <c r="C12" t="n">
        <v>990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10</v>
      </c>
      <c r="B13" t="n">
        <v>123574</v>
      </c>
      <c r="C13" t="n">
        <v>990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11</v>
      </c>
      <c r="B14" t="n">
        <v>123574</v>
      </c>
      <c r="C14" t="n">
        <v>990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12</v>
      </c>
      <c r="B15" t="n">
        <v>97389</v>
      </c>
      <c r="C15" t="n">
        <v>10890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13</v>
      </c>
      <c r="B16" t="n">
        <v>69778</v>
      </c>
      <c r="C16" t="n">
        <v>24750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14</v>
      </c>
      <c r="B17" t="n">
        <v>23897</v>
      </c>
      <c r="C17" t="n">
        <v>69300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17</v>
      </c>
      <c r="B18" t="n">
        <v>1</v>
      </c>
      <c r="C18" t="n">
        <v>10000000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53</v>
      </c>
      <c r="C7" t="n">
        <v>455400</v>
      </c>
      <c r="D7">
        <f>C7/$H$3</f>
        <v/>
      </c>
      <c r="E7">
        <f>IF($B$16&gt;0,B7/$B$16,0)</f>
        <v/>
      </c>
      <c r="F7">
        <f>D7*E7</f>
        <v/>
      </c>
      <c r="G7">
        <f>E7</f>
        <v/>
      </c>
    </row>
    <row r="8">
      <c r="A8" t="n">
        <v>3</v>
      </c>
      <c r="B8" t="n">
        <v>39227</v>
      </c>
      <c r="C8" t="n">
        <v>108900</v>
      </c>
      <c r="D8">
        <f>C8/$H$3</f>
        <v/>
      </c>
      <c r="E8">
        <f>IF($B$16&gt;0,B8/$B$16,0)</f>
        <v/>
      </c>
      <c r="F8">
        <f>D8*E8</f>
        <v/>
      </c>
      <c r="G8">
        <f>G7+E8</f>
        <v/>
      </c>
    </row>
    <row r="9">
      <c r="A9" t="n">
        <v>4</v>
      </c>
      <c r="B9" t="n">
        <v>307147</v>
      </c>
      <c r="C9" t="n">
        <v>990</v>
      </c>
      <c r="D9">
        <f>C9/$H$3</f>
        <v/>
      </c>
      <c r="E9">
        <f>IF($B$16&gt;0,B9/$B$16,0)</f>
        <v/>
      </c>
      <c r="F9">
        <f>D9*E9</f>
        <v/>
      </c>
      <c r="G9">
        <f>G8+E9</f>
        <v/>
      </c>
    </row>
    <row r="10">
      <c r="A10" t="n">
        <v>5</v>
      </c>
      <c r="B10" t="n">
        <v>307146</v>
      </c>
      <c r="C10" t="n">
        <v>990</v>
      </c>
      <c r="D10">
        <f>C10/$H$3</f>
        <v/>
      </c>
      <c r="E10">
        <f>IF($B$16&gt;0,B10/$B$16,0)</f>
        <v/>
      </c>
      <c r="F10">
        <f>D10*E10</f>
        <v/>
      </c>
      <c r="G10">
        <f>G9+E10</f>
        <v/>
      </c>
    </row>
    <row r="11">
      <c r="A11" t="n">
        <v>6</v>
      </c>
      <c r="B11" t="n">
        <v>307146</v>
      </c>
      <c r="C11" t="n">
        <v>990</v>
      </c>
      <c r="D11">
        <f>C11/$H$3</f>
        <v/>
      </c>
      <c r="E11">
        <f>IF($B$16&gt;0,B11/$B$16,0)</f>
        <v/>
      </c>
      <c r="F11">
        <f>D11*E11</f>
        <v/>
      </c>
      <c r="G11">
        <f>G10+E11</f>
        <v/>
      </c>
    </row>
    <row r="12">
      <c r="A12" t="n">
        <v>7</v>
      </c>
      <c r="B12" t="n">
        <v>39227</v>
      </c>
      <c r="C12" t="n">
        <v>108900</v>
      </c>
      <c r="D12">
        <f>C12/$H$3</f>
        <v/>
      </c>
      <c r="E12">
        <f>IF($B$16&gt;0,B12/$B$16,0)</f>
        <v/>
      </c>
      <c r="F12">
        <f>D12*E12</f>
        <v/>
      </c>
      <c r="G12">
        <f>G11+E12</f>
        <v/>
      </c>
    </row>
    <row r="13">
      <c r="A13" t="n">
        <v>8</v>
      </c>
      <c r="B13" t="n">
        <v>53</v>
      </c>
      <c r="C13" t="n">
        <v>455400</v>
      </c>
      <c r="D13">
        <f>C13/$H$3</f>
        <v/>
      </c>
      <c r="E13">
        <f>IF($B$16&gt;0,B13/$B$16,0)</f>
        <v/>
      </c>
      <c r="F13">
        <f>D13*E13</f>
        <v/>
      </c>
      <c r="G13">
        <f>G12+E13</f>
        <v/>
      </c>
    </row>
    <row r="14">
      <c r="A14" t="n">
        <v>9</v>
      </c>
      <c r="B14" t="n">
        <v>1</v>
      </c>
      <c r="C14" t="n">
        <v>4950000</v>
      </c>
      <c r="D14">
        <f>C14/$H$3</f>
        <v/>
      </c>
      <c r="E14">
        <f>IF($B$16&gt;0,B14/$B$16,0)</f>
        <v/>
      </c>
      <c r="F14">
        <f>D14*E14</f>
        <v/>
      </c>
      <c r="G14">
        <f>G13+E14</f>
        <v/>
      </c>
    </row>
    <row r="16">
      <c r="A16" s="3" t="inlineStr">
        <is>
          <t>CHECK_SUMS</t>
        </is>
      </c>
      <c r="B16">
        <f>SUM(B7:B14)</f>
        <v/>
      </c>
      <c r="C16" t="inlineStr">
        <is>
          <t>payout_raw_sum</t>
        </is>
      </c>
      <c r="D16">
        <f>SUM(D7:D14)</f>
        <v/>
      </c>
      <c r="E16">
        <f>SUM(E7:E14)</f>
        <v/>
      </c>
      <c r="F16">
        <f>SUM(F7:F14)</f>
        <v/>
      </c>
      <c r="G16">
        <f>IF($B$3&gt;0,F16/$B$3,0)</f>
        <v/>
      </c>
      <c r="H16">
        <f>IF($D$3="","N/A",ABS(G16-$D$3)&lt;=$F$3)</f>
        <v/>
      </c>
    </row>
    <row r="17">
      <c r="A17" t="inlineStr">
        <is>
          <t>rtp_drift</t>
        </is>
      </c>
      <c r="B17">
        <f>IF($D$3="","",G16-$D$3)</f>
        <v/>
      </c>
    </row>
    <row r="18">
      <c r="A18" t="inlineStr">
        <is>
          <t>prob_sum_check</t>
        </is>
      </c>
      <c r="B18">
        <f>ABS(E16-1)&lt;=1E-9</f>
        <v/>
      </c>
    </row>
    <row r="19">
      <c r="A19" t="inlineStr">
        <is>
          <t>max_win_value</t>
        </is>
      </c>
      <c r="B19">
        <f>MAX(D7:D14)</f>
        <v/>
      </c>
    </row>
    <row r="20">
      <c r="A20" t="inlineStr">
        <is>
          <t>max_win_probability</t>
        </is>
      </c>
      <c r="B20">
        <f>SUMIFS(E7:E14,D7:D14,B19)</f>
        <v/>
      </c>
    </row>
    <row r="21">
      <c r="A21" t="inlineStr">
        <is>
          <t>outcome_rows</t>
        </is>
      </c>
      <c r="B21">
        <f>ROWS(A7:A14)</f>
        <v/>
      </c>
    </row>
    <row r="22">
      <c r="A22" t="inlineStr">
        <is>
          <t>unique_multipliers</t>
        </is>
      </c>
      <c r="B22">
        <f>SUMPRODUCT(1/COUNTIF(D7:D14,D7:D14))</f>
        <v/>
      </c>
    </row>
    <row r="23">
      <c r="A23" t="inlineStr">
        <is>
          <t>max_exposure_with_max_bet</t>
        </is>
      </c>
      <c r="B23">
        <f>B19*500.0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3</v>
      </c>
      <c r="C7" t="n">
        <v>772200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3</v>
      </c>
      <c r="B8" t="n">
        <v>27253</v>
      </c>
      <c r="C8" t="n">
        <v>148500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4</v>
      </c>
      <c r="B9" t="n">
        <v>234653</v>
      </c>
      <c r="C9" t="n">
        <v>1980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5</v>
      </c>
      <c r="B10" t="n">
        <v>238091</v>
      </c>
      <c r="C10" t="n">
        <v>990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6</v>
      </c>
      <c r="B11" t="n">
        <v>238091</v>
      </c>
      <c r="C11" t="n">
        <v>990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7</v>
      </c>
      <c r="B12" t="n">
        <v>234653</v>
      </c>
      <c r="C12" t="n">
        <v>1980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8</v>
      </c>
      <c r="B13" t="n">
        <v>27252</v>
      </c>
      <c r="C13" t="n">
        <v>148500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9</v>
      </c>
      <c r="B14" t="n">
        <v>3</v>
      </c>
      <c r="C14" t="n">
        <v>772200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10</v>
      </c>
      <c r="B15" t="n">
        <v>1</v>
      </c>
      <c r="C15" t="n">
        <v>9900000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6175</v>
      </c>
      <c r="C7" t="n">
        <v>99000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3</v>
      </c>
      <c r="B8" t="n">
        <v>70857</v>
      </c>
      <c r="C8" t="n">
        <v>29700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4</v>
      </c>
      <c r="B9" t="n">
        <v>147334</v>
      </c>
      <c r="C9" t="n">
        <v>8910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5</v>
      </c>
      <c r="B10" t="n">
        <v>181608</v>
      </c>
      <c r="C10" t="n">
        <v>2970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6</v>
      </c>
      <c r="B11" t="n">
        <v>188051</v>
      </c>
      <c r="C11" t="n">
        <v>1980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7</v>
      </c>
      <c r="B12" t="n">
        <v>181608</v>
      </c>
      <c r="C12" t="n">
        <v>2970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8</v>
      </c>
      <c r="B13" t="n">
        <v>147334</v>
      </c>
      <c r="C13" t="n">
        <v>8910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9</v>
      </c>
      <c r="B14" t="n">
        <v>70857</v>
      </c>
      <c r="C14" t="n">
        <v>29700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10</v>
      </c>
      <c r="B15" t="n">
        <v>6175</v>
      </c>
      <c r="C15" t="n">
        <v>99000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11</v>
      </c>
      <c r="B16" t="n">
        <v>1</v>
      </c>
      <c r="C16" t="n">
        <v>752400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2022</v>
      </c>
      <c r="C7" t="n">
        <v>138600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3</v>
      </c>
      <c r="B8" t="n">
        <v>35021</v>
      </c>
      <c r="C8" t="n">
        <v>51480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4</v>
      </c>
      <c r="B9" t="n">
        <v>119996</v>
      </c>
      <c r="C9" t="n">
        <v>13860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5</v>
      </c>
      <c r="B10" t="n">
        <v>165925</v>
      </c>
      <c r="C10" t="n">
        <v>3960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6</v>
      </c>
      <c r="B11" t="n">
        <v>177036</v>
      </c>
      <c r="C11" t="n">
        <v>1980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7</v>
      </c>
      <c r="B12" t="n">
        <v>177035</v>
      </c>
      <c r="C12" t="n">
        <v>1980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8</v>
      </c>
      <c r="B13" t="n">
        <v>165925</v>
      </c>
      <c r="C13" t="n">
        <v>3960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9</v>
      </c>
      <c r="B14" t="n">
        <v>119996</v>
      </c>
      <c r="C14" t="n">
        <v>13860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10</v>
      </c>
      <c r="B15" t="n">
        <v>35021</v>
      </c>
      <c r="C15" t="n">
        <v>51480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11</v>
      </c>
      <c r="B16" t="n">
        <v>2022</v>
      </c>
      <c r="C16" t="n">
        <v>138600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12</v>
      </c>
      <c r="B17" t="n">
        <v>1</v>
      </c>
      <c r="C17" t="n">
        <v>1188000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166</v>
      </c>
      <c r="C7" t="n">
        <v>237600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3</v>
      </c>
      <c r="B8" t="n">
        <v>16582</v>
      </c>
      <c r="C8" t="n">
        <v>80190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4</v>
      </c>
      <c r="B9" t="n">
        <v>96980</v>
      </c>
      <c r="C9" t="n">
        <v>19800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5</v>
      </c>
      <c r="B10" t="n">
        <v>141302</v>
      </c>
      <c r="C10" t="n">
        <v>6930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6</v>
      </c>
      <c r="B11" t="n">
        <v>163313</v>
      </c>
      <c r="C11" t="n">
        <v>1980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7</v>
      </c>
      <c r="B12" t="n">
        <v>163313</v>
      </c>
      <c r="C12" t="n">
        <v>1980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8</v>
      </c>
      <c r="B13" t="n">
        <v>163313</v>
      </c>
      <c r="C13" t="n">
        <v>1980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9</v>
      </c>
      <c r="B14" t="n">
        <v>141302</v>
      </c>
      <c r="C14" t="n">
        <v>6930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10</v>
      </c>
      <c r="B15" t="n">
        <v>96980</v>
      </c>
      <c r="C15" t="n">
        <v>19800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11</v>
      </c>
      <c r="B16" t="n">
        <v>16582</v>
      </c>
      <c r="C16" t="n">
        <v>80190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12</v>
      </c>
      <c r="B17" t="n">
        <v>166</v>
      </c>
      <c r="C17" t="n">
        <v>237600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13</v>
      </c>
      <c r="B18" t="n">
        <v>1</v>
      </c>
      <c r="C18" t="n">
        <v>1683000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4</v>
      </c>
      <c r="C7" t="n">
        <v>366300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3</v>
      </c>
      <c r="B8" t="n">
        <v>7209</v>
      </c>
      <c r="C8" t="n">
        <v>108900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4</v>
      </c>
      <c r="B9" t="n">
        <v>53155</v>
      </c>
      <c r="C9" t="n">
        <v>39600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5</v>
      </c>
      <c r="B10" t="n">
        <v>125144</v>
      </c>
      <c r="C10" t="n">
        <v>9900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6</v>
      </c>
      <c r="B11" t="n">
        <v>157244</v>
      </c>
      <c r="C11" t="n">
        <v>1980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7</v>
      </c>
      <c r="B12" t="n">
        <v>157244</v>
      </c>
      <c r="C12" t="n">
        <v>1980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8</v>
      </c>
      <c r="B13" t="n">
        <v>157244</v>
      </c>
      <c r="C13" t="n">
        <v>1980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9</v>
      </c>
      <c r="B14" t="n">
        <v>157243</v>
      </c>
      <c r="C14" t="n">
        <v>1980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10</v>
      </c>
      <c r="B15" t="n">
        <v>125144</v>
      </c>
      <c r="C15" t="n">
        <v>9900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11</v>
      </c>
      <c r="B16" t="n">
        <v>53155</v>
      </c>
      <c r="C16" t="n">
        <v>39600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12</v>
      </c>
      <c r="B17" t="n">
        <v>7209</v>
      </c>
      <c r="C17" t="n">
        <v>108900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13</v>
      </c>
      <c r="B18" t="n">
        <v>4</v>
      </c>
      <c r="C18" t="n">
        <v>366300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14</v>
      </c>
      <c r="B19" t="n">
        <v>1</v>
      </c>
      <c r="C19" t="n">
        <v>2574000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1079</v>
      </c>
      <c r="C7" t="n">
        <v>178200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4</v>
      </c>
      <c r="B8" t="n">
        <v>39331</v>
      </c>
      <c r="C8" t="n">
        <v>49500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5</v>
      </c>
      <c r="B9" t="n">
        <v>92711</v>
      </c>
      <c r="C9" t="n">
        <v>18810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6</v>
      </c>
      <c r="B10" t="n">
        <v>144323</v>
      </c>
      <c r="C10" t="n">
        <v>2970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7</v>
      </c>
      <c r="B11" t="n">
        <v>148371</v>
      </c>
      <c r="C11" t="n">
        <v>1980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8</v>
      </c>
      <c r="B12" t="n">
        <v>148370</v>
      </c>
      <c r="C12" t="n">
        <v>1980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9</v>
      </c>
      <c r="B13" t="n">
        <v>148370</v>
      </c>
      <c r="C13" t="n">
        <v>1980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10</v>
      </c>
      <c r="B14" t="n">
        <v>144323</v>
      </c>
      <c r="C14" t="n">
        <v>2970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11</v>
      </c>
      <c r="B15" t="n">
        <v>92711</v>
      </c>
      <c r="C15" t="n">
        <v>18810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12</v>
      </c>
      <c r="B16" t="n">
        <v>39331</v>
      </c>
      <c r="C16" t="n">
        <v>49500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13</v>
      </c>
      <c r="B17" t="n">
        <v>1079</v>
      </c>
      <c r="C17" t="n">
        <v>178200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15</v>
      </c>
      <c r="B18" t="n">
        <v>1</v>
      </c>
      <c r="C18" t="n">
        <v>4158000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136</v>
      </c>
      <c r="C7" t="n">
        <v>267300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4</v>
      </c>
      <c r="B8" t="n">
        <v>18698</v>
      </c>
      <c r="C8" t="n">
        <v>79200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5</v>
      </c>
      <c r="B9" t="n">
        <v>68315</v>
      </c>
      <c r="C9" t="n">
        <v>29700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6</v>
      </c>
      <c r="B10" t="n">
        <v>130579</v>
      </c>
      <c r="C10" t="n">
        <v>4950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7</v>
      </c>
      <c r="B11" t="n">
        <v>141136</v>
      </c>
      <c r="C11" t="n">
        <v>1980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8</v>
      </c>
      <c r="B12" t="n">
        <v>141136</v>
      </c>
      <c r="C12" t="n">
        <v>1980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9</v>
      </c>
      <c r="B13" t="n">
        <v>141136</v>
      </c>
      <c r="C13" t="n">
        <v>1980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10</v>
      </c>
      <c r="B14" t="n">
        <v>141136</v>
      </c>
      <c r="C14" t="n">
        <v>1980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11</v>
      </c>
      <c r="B15" t="n">
        <v>130579</v>
      </c>
      <c r="C15" t="n">
        <v>4950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12</v>
      </c>
      <c r="B16" t="n">
        <v>68314</v>
      </c>
      <c r="C16" t="n">
        <v>29700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13</v>
      </c>
      <c r="B17" t="n">
        <v>18698</v>
      </c>
      <c r="C17" t="n">
        <v>79200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14</v>
      </c>
      <c r="B18" t="n">
        <v>136</v>
      </c>
      <c r="C18" t="n">
        <v>267300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16</v>
      </c>
      <c r="B19" t="n">
        <v>1</v>
      </c>
      <c r="C19" t="n">
        <v>6138000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31</v>
      </c>
      <c r="C7" t="n">
        <v>257400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4</v>
      </c>
      <c r="B8" t="n">
        <v>8163</v>
      </c>
      <c r="C8" t="n">
        <v>89100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5</v>
      </c>
      <c r="B9" t="n">
        <v>42226</v>
      </c>
      <c r="C9" t="n">
        <v>39600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6</v>
      </c>
      <c r="B10" t="n">
        <v>81484</v>
      </c>
      <c r="C10" t="n">
        <v>19800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7</v>
      </c>
      <c r="B11" t="n">
        <v>147239</v>
      </c>
      <c r="C11" t="n">
        <v>1980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8</v>
      </c>
      <c r="B12" t="n">
        <v>147238</v>
      </c>
      <c r="C12" t="n">
        <v>1980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9</v>
      </c>
      <c r="B13" t="n">
        <v>147238</v>
      </c>
      <c r="C13" t="n">
        <v>1980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10</v>
      </c>
      <c r="B14" t="n">
        <v>147238</v>
      </c>
      <c r="C14" t="n">
        <v>1980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11</v>
      </c>
      <c r="B15" t="n">
        <v>147238</v>
      </c>
      <c r="C15" t="n">
        <v>1980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12</v>
      </c>
      <c r="B16" t="n">
        <v>81484</v>
      </c>
      <c r="C16" t="n">
        <v>19800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13</v>
      </c>
      <c r="B17" t="n">
        <v>42226</v>
      </c>
      <c r="C17" t="n">
        <v>39600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14</v>
      </c>
      <c r="B18" t="n">
        <v>8163</v>
      </c>
      <c r="C18" t="n">
        <v>89100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15</v>
      </c>
      <c r="B19" t="n">
        <v>31</v>
      </c>
      <c r="C19" t="n">
        <v>257400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17</v>
      </c>
      <c r="B20" t="n">
        <v>1</v>
      </c>
      <c r="C20" t="n">
        <v>9900000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3</v>
      </c>
      <c r="C7" t="n">
        <v>287100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49565</v>
      </c>
      <c r="C8" t="n">
        <v>39600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131430</v>
      </c>
      <c r="C9" t="n">
        <v>14850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209886</v>
      </c>
      <c r="C10" t="n">
        <v>2970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218234</v>
      </c>
      <c r="C11" t="n">
        <v>1980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209886</v>
      </c>
      <c r="C12" t="n">
        <v>2970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131430</v>
      </c>
      <c r="C13" t="n">
        <v>14850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49565</v>
      </c>
      <c r="C14" t="n">
        <v>39600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287100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17622</v>
      </c>
      <c r="C7" t="n">
        <v>69300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3</v>
      </c>
      <c r="B8" t="n">
        <v>105820</v>
      </c>
      <c r="C8" t="n">
        <v>19800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4</v>
      </c>
      <c r="B9" t="n">
        <v>174802</v>
      </c>
      <c r="C9" t="n">
        <v>5940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5</v>
      </c>
      <c r="B10" t="n">
        <v>201756</v>
      </c>
      <c r="C10" t="n">
        <v>1980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6</v>
      </c>
      <c r="B11" t="n">
        <v>201756</v>
      </c>
      <c r="C11" t="n">
        <v>1980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7</v>
      </c>
      <c r="B12" t="n">
        <v>174802</v>
      </c>
      <c r="C12" t="n">
        <v>5940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8</v>
      </c>
      <c r="B13" t="n">
        <v>105819</v>
      </c>
      <c r="C13" t="n">
        <v>19800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9</v>
      </c>
      <c r="B14" t="n">
        <v>17622</v>
      </c>
      <c r="C14" t="n">
        <v>69300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10</v>
      </c>
      <c r="B15" t="n">
        <v>1</v>
      </c>
      <c r="C15" t="n">
        <v>425700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</v>
      </c>
      <c r="C7" t="n">
        <v>88110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6697</v>
      </c>
      <c r="C8" t="n">
        <v>29700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77086</v>
      </c>
      <c r="C9" t="n">
        <v>13860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121881</v>
      </c>
      <c r="C10" t="n">
        <v>10890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141990</v>
      </c>
      <c r="C11" t="n">
        <v>9900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304691</v>
      </c>
      <c r="C12" t="n">
        <v>4950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141990</v>
      </c>
      <c r="C13" t="n">
        <v>9900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121881</v>
      </c>
      <c r="C14" t="n">
        <v>10890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77086</v>
      </c>
      <c r="C15" t="n">
        <v>13860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6696</v>
      </c>
      <c r="C16" t="n">
        <v>29700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</v>
      </c>
      <c r="C17" t="n">
        <v>88110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3366</v>
      </c>
      <c r="C7" t="n">
        <v>29700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3</v>
      </c>
      <c r="B8" t="n">
        <v>26312</v>
      </c>
      <c r="C8" t="n">
        <v>18810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4</v>
      </c>
      <c r="B9" t="n">
        <v>80781</v>
      </c>
      <c r="C9" t="n">
        <v>12870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5</v>
      </c>
      <c r="B10" t="n">
        <v>141540</v>
      </c>
      <c r="C10" t="n">
        <v>9900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6</v>
      </c>
      <c r="B11" t="n">
        <v>248001</v>
      </c>
      <c r="C11" t="n">
        <v>6930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7</v>
      </c>
      <c r="B12" t="n">
        <v>248001</v>
      </c>
      <c r="C12" t="n">
        <v>6930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8</v>
      </c>
      <c r="B13" t="n">
        <v>141540</v>
      </c>
      <c r="C13" t="n">
        <v>9900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9</v>
      </c>
      <c r="B14" t="n">
        <v>80780</v>
      </c>
      <c r="C14" t="n">
        <v>12870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10</v>
      </c>
      <c r="B15" t="n">
        <v>26312</v>
      </c>
      <c r="C15" t="n">
        <v>18810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11</v>
      </c>
      <c r="B16" t="n">
        <v>3366</v>
      </c>
      <c r="C16" t="n">
        <v>29700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12</v>
      </c>
      <c r="B17" t="n">
        <v>1</v>
      </c>
      <c r="C17" t="n">
        <v>83160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2704</v>
      </c>
      <c r="C7" t="n">
        <v>29700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3</v>
      </c>
      <c r="B8" t="n">
        <v>40044</v>
      </c>
      <c r="C8" t="n">
        <v>15840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4</v>
      </c>
      <c r="B9" t="n">
        <v>58851</v>
      </c>
      <c r="C9" t="n">
        <v>13860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5</v>
      </c>
      <c r="B10" t="n">
        <v>104855</v>
      </c>
      <c r="C10" t="n">
        <v>10890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6</v>
      </c>
      <c r="B11" t="n">
        <v>127117</v>
      </c>
      <c r="C11" t="n">
        <v>9900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7</v>
      </c>
      <c r="B12" t="n">
        <v>332858</v>
      </c>
      <c r="C12" t="n">
        <v>4950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8</v>
      </c>
      <c r="B13" t="n">
        <v>127116</v>
      </c>
      <c r="C13" t="n">
        <v>9900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9</v>
      </c>
      <c r="B14" t="n">
        <v>104855</v>
      </c>
      <c r="C14" t="n">
        <v>10890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10</v>
      </c>
      <c r="B15" t="n">
        <v>58851</v>
      </c>
      <c r="C15" t="n">
        <v>13860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11</v>
      </c>
      <c r="B16" t="n">
        <v>40044</v>
      </c>
      <c r="C16" t="n">
        <v>15840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12</v>
      </c>
      <c r="B17" t="n">
        <v>2704</v>
      </c>
      <c r="C17" t="n">
        <v>29700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13</v>
      </c>
      <c r="B18" t="n">
        <v>1</v>
      </c>
      <c r="C18" t="n">
        <v>99000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</v>
      </c>
      <c r="C7" t="n">
        <v>80190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1015</v>
      </c>
      <c r="C8" t="n">
        <v>39600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5135</v>
      </c>
      <c r="C9" t="n">
        <v>29700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30550</v>
      </c>
      <c r="C10" t="n">
        <v>18810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95025</v>
      </c>
      <c r="C11" t="n">
        <v>11880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154545</v>
      </c>
      <c r="C12" t="n">
        <v>8910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213729</v>
      </c>
      <c r="C13" t="n">
        <v>6930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213729</v>
      </c>
      <c r="C14" t="n">
        <v>6930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154545</v>
      </c>
      <c r="C15" t="n">
        <v>8910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95025</v>
      </c>
      <c r="C16" t="n">
        <v>11880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30550</v>
      </c>
      <c r="C17" t="n">
        <v>18810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5135</v>
      </c>
      <c r="C18" t="n">
        <v>29700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1015</v>
      </c>
      <c r="C19" t="n">
        <v>39600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1</v>
      </c>
      <c r="C20" t="n">
        <v>80190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198</v>
      </c>
      <c r="C7" t="n">
        <v>39600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3</v>
      </c>
      <c r="B8" t="n">
        <v>17005</v>
      </c>
      <c r="C8" t="n">
        <v>18810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4</v>
      </c>
      <c r="B9" t="n">
        <v>49100</v>
      </c>
      <c r="C9" t="n">
        <v>13860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5</v>
      </c>
      <c r="B10" t="n">
        <v>60699</v>
      </c>
      <c r="C10" t="n">
        <v>12870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6</v>
      </c>
      <c r="B11" t="n">
        <v>92764</v>
      </c>
      <c r="C11" t="n">
        <v>10890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7</v>
      </c>
      <c r="B12" t="n">
        <v>114677</v>
      </c>
      <c r="C12" t="n">
        <v>9900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8</v>
      </c>
      <c r="B13" t="n">
        <v>331113</v>
      </c>
      <c r="C13" t="n">
        <v>4950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9</v>
      </c>
      <c r="B14" t="n">
        <v>114677</v>
      </c>
      <c r="C14" t="n">
        <v>9900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10</v>
      </c>
      <c r="B15" t="n">
        <v>92764</v>
      </c>
      <c r="C15" t="n">
        <v>10890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11</v>
      </c>
      <c r="B16" t="n">
        <v>60699</v>
      </c>
      <c r="C16" t="n">
        <v>12870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12</v>
      </c>
      <c r="B17" t="n">
        <v>49100</v>
      </c>
      <c r="C17" t="n">
        <v>13860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13</v>
      </c>
      <c r="B18" t="n">
        <v>17005</v>
      </c>
      <c r="C18" t="n">
        <v>18810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14</v>
      </c>
      <c r="B19" t="n">
        <v>198</v>
      </c>
      <c r="C19" t="n">
        <v>39600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15</v>
      </c>
      <c r="B20" t="n">
        <v>1</v>
      </c>
      <c r="C20" t="n">
        <v>70290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1713</v>
      </c>
      <c r="C7" t="n">
        <v>29700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4</v>
      </c>
      <c r="B8" t="n">
        <v>14313</v>
      </c>
      <c r="C8" t="n">
        <v>19800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5</v>
      </c>
      <c r="B9" t="n">
        <v>41381</v>
      </c>
      <c r="C9" t="n">
        <v>14850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6</v>
      </c>
      <c r="B10" t="n">
        <v>96751</v>
      </c>
      <c r="C10" t="n">
        <v>10890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7</v>
      </c>
      <c r="B11" t="n">
        <v>119637</v>
      </c>
      <c r="C11" t="n">
        <v>9900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8</v>
      </c>
      <c r="B12" t="n">
        <v>226205</v>
      </c>
      <c r="C12" t="n">
        <v>6930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9</v>
      </c>
      <c r="B13" t="n">
        <v>226205</v>
      </c>
      <c r="C13" t="n">
        <v>6930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10</v>
      </c>
      <c r="B14" t="n">
        <v>119637</v>
      </c>
      <c r="C14" t="n">
        <v>9900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11</v>
      </c>
      <c r="B15" t="n">
        <v>96751</v>
      </c>
      <c r="C15" t="n">
        <v>10890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12</v>
      </c>
      <c r="B16" t="n">
        <v>41381</v>
      </c>
      <c r="C16" t="n">
        <v>14850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13</v>
      </c>
      <c r="B17" t="n">
        <v>14313</v>
      </c>
      <c r="C17" t="n">
        <v>19800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14</v>
      </c>
      <c r="B18" t="n">
        <v>1712</v>
      </c>
      <c r="C18" t="n">
        <v>29700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16</v>
      </c>
      <c r="B19" t="n">
        <v>1</v>
      </c>
      <c r="C19" t="n">
        <v>148500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9764</v>
      </c>
      <c r="C7" t="n">
        <v>19800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4</v>
      </c>
      <c r="B8" t="n">
        <v>39864</v>
      </c>
      <c r="C8" t="n">
        <v>13860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5</v>
      </c>
      <c r="B9" t="n">
        <v>39864</v>
      </c>
      <c r="C9" t="n">
        <v>13860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6</v>
      </c>
      <c r="B10" t="n">
        <v>63712</v>
      </c>
      <c r="C10" t="n">
        <v>11880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7</v>
      </c>
      <c r="B11" t="n">
        <v>80547</v>
      </c>
      <c r="C11" t="n">
        <v>10890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8</v>
      </c>
      <c r="B12" t="n">
        <v>101829</v>
      </c>
      <c r="C12" t="n">
        <v>9900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9</v>
      </c>
      <c r="B13" t="n">
        <v>328840</v>
      </c>
      <c r="C13" t="n">
        <v>4950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10</v>
      </c>
      <c r="B14" t="n">
        <v>101829</v>
      </c>
      <c r="C14" t="n">
        <v>9900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11</v>
      </c>
      <c r="B15" t="n">
        <v>80546</v>
      </c>
      <c r="C15" t="n">
        <v>10890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12</v>
      </c>
      <c r="B16" t="n">
        <v>63712</v>
      </c>
      <c r="C16" t="n">
        <v>11880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13</v>
      </c>
      <c r="B17" t="n">
        <v>39864</v>
      </c>
      <c r="C17" t="n">
        <v>13860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14</v>
      </c>
      <c r="B18" t="n">
        <v>39864</v>
      </c>
      <c r="C18" t="n">
        <v>13860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15</v>
      </c>
      <c r="B19" t="n">
        <v>9764</v>
      </c>
      <c r="C19" t="n">
        <v>19800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17</v>
      </c>
      <c r="B20" t="n">
        <v>1</v>
      </c>
      <c r="C20" t="n">
        <v>158400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413</v>
      </c>
      <c r="C7" t="n">
        <v>55440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38932</v>
      </c>
      <c r="C8" t="n">
        <v>20790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142730</v>
      </c>
      <c r="C9" t="n">
        <v>10890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162531</v>
      </c>
      <c r="C10" t="n">
        <v>9900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311200</v>
      </c>
      <c r="C11" t="n">
        <v>4950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162531</v>
      </c>
      <c r="C12" t="n">
        <v>9900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142730</v>
      </c>
      <c r="C13" t="n">
        <v>10890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38932</v>
      </c>
      <c r="C14" t="n">
        <v>20790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55440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47</v>
      </c>
      <c r="C7" t="n">
        <v>55440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26763</v>
      </c>
      <c r="C8" t="n">
        <v>19800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54101</v>
      </c>
      <c r="C9" t="n">
        <v>15840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155495</v>
      </c>
      <c r="C10" t="n">
        <v>9900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263617</v>
      </c>
      <c r="C11" t="n">
        <v>6930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263617</v>
      </c>
      <c r="C12" t="n">
        <v>6930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155495</v>
      </c>
      <c r="C13" t="n">
        <v>9900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54101</v>
      </c>
      <c r="C14" t="n">
        <v>15840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26763</v>
      </c>
      <c r="C15" t="n">
        <v>19800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55440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5970</v>
      </c>
      <c r="C7" t="n">
        <v>49500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3</v>
      </c>
      <c r="B8" t="n">
        <v>65987</v>
      </c>
      <c r="C8" t="n">
        <v>19800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4</v>
      </c>
      <c r="B9" t="n">
        <v>106699</v>
      </c>
      <c r="C9" t="n">
        <v>13860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5</v>
      </c>
      <c r="B10" t="n">
        <v>202502</v>
      </c>
      <c r="C10" t="n">
        <v>5940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6</v>
      </c>
      <c r="B11" t="n">
        <v>237683</v>
      </c>
      <c r="C11" t="n">
        <v>3960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7</v>
      </c>
      <c r="B12" t="n">
        <v>202502</v>
      </c>
      <c r="C12" t="n">
        <v>5940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8</v>
      </c>
      <c r="B13" t="n">
        <v>106699</v>
      </c>
      <c r="C13" t="n">
        <v>13860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9</v>
      </c>
      <c r="B14" t="n">
        <v>65987</v>
      </c>
      <c r="C14" t="n">
        <v>19800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10</v>
      </c>
      <c r="B15" t="n">
        <v>5970</v>
      </c>
      <c r="C15" t="n">
        <v>49500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11</v>
      </c>
      <c r="B16" t="n">
        <v>1</v>
      </c>
      <c r="C16" t="n">
        <v>217800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3084</v>
      </c>
      <c r="C7" t="n">
        <v>59400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3</v>
      </c>
      <c r="B8" t="n">
        <v>30778</v>
      </c>
      <c r="C8" t="n">
        <v>29700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4</v>
      </c>
      <c r="B9" t="n">
        <v>77246</v>
      </c>
      <c r="C9" t="n">
        <v>17820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5</v>
      </c>
      <c r="B10" t="n">
        <v>179564</v>
      </c>
      <c r="C10" t="n">
        <v>6930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6</v>
      </c>
      <c r="B11" t="n">
        <v>209328</v>
      </c>
      <c r="C11" t="n">
        <v>4950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7</v>
      </c>
      <c r="B12" t="n">
        <v>209328</v>
      </c>
      <c r="C12" t="n">
        <v>4950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8</v>
      </c>
      <c r="B13" t="n">
        <v>179564</v>
      </c>
      <c r="C13" t="n">
        <v>6930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9</v>
      </c>
      <c r="B14" t="n">
        <v>77246</v>
      </c>
      <c r="C14" t="n">
        <v>17820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10</v>
      </c>
      <c r="B15" t="n">
        <v>30777</v>
      </c>
      <c r="C15" t="n">
        <v>29700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11</v>
      </c>
      <c r="B16" t="n">
        <v>3084</v>
      </c>
      <c r="C16" t="n">
        <v>59400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12</v>
      </c>
      <c r="B17" t="n">
        <v>1</v>
      </c>
      <c r="C17" t="n">
        <v>237600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117</v>
      </c>
      <c r="C7" t="n">
        <v>108900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3</v>
      </c>
      <c r="B8" t="n">
        <v>16331</v>
      </c>
      <c r="C8" t="n">
        <v>39600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4</v>
      </c>
      <c r="B9" t="n">
        <v>66904</v>
      </c>
      <c r="C9" t="n">
        <v>19800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5</v>
      </c>
      <c r="B10" t="n">
        <v>126196</v>
      </c>
      <c r="C10" t="n">
        <v>10890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6</v>
      </c>
      <c r="B11" t="n">
        <v>179537</v>
      </c>
      <c r="C11" t="n">
        <v>5940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7</v>
      </c>
      <c r="B12" t="n">
        <v>221830</v>
      </c>
      <c r="C12" t="n">
        <v>2970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8</v>
      </c>
      <c r="B13" t="n">
        <v>179537</v>
      </c>
      <c r="C13" t="n">
        <v>5940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9</v>
      </c>
      <c r="B14" t="n">
        <v>126196</v>
      </c>
      <c r="C14" t="n">
        <v>10890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10</v>
      </c>
      <c r="B15" t="n">
        <v>66903</v>
      </c>
      <c r="C15" t="n">
        <v>19800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11</v>
      </c>
      <c r="B16" t="n">
        <v>16331</v>
      </c>
      <c r="C16" t="n">
        <v>39600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12</v>
      </c>
      <c r="B17" t="n">
        <v>117</v>
      </c>
      <c r="C17" t="n">
        <v>108900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13</v>
      </c>
      <c r="B18" t="n">
        <v>1</v>
      </c>
      <c r="C18" t="n">
        <v>326700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83</v>
      </c>
      <c r="C7" t="n">
        <v>128700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3</v>
      </c>
      <c r="B8" t="n">
        <v>6096</v>
      </c>
      <c r="C8" t="n">
        <v>59400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4</v>
      </c>
      <c r="B9" t="n">
        <v>38390</v>
      </c>
      <c r="C9" t="n">
        <v>29700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5</v>
      </c>
      <c r="B10" t="n">
        <v>108911</v>
      </c>
      <c r="C10" t="n">
        <v>12870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6</v>
      </c>
      <c r="B11" t="n">
        <v>157364</v>
      </c>
      <c r="C11" t="n">
        <v>6930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7</v>
      </c>
      <c r="B12" t="n">
        <v>189156</v>
      </c>
      <c r="C12" t="n">
        <v>3960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8</v>
      </c>
      <c r="B13" t="n">
        <v>189156</v>
      </c>
      <c r="C13" t="n">
        <v>3960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9</v>
      </c>
      <c r="B14" t="n">
        <v>157363</v>
      </c>
      <c r="C14" t="n">
        <v>6930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10</v>
      </c>
      <c r="B15" t="n">
        <v>108911</v>
      </c>
      <c r="C15" t="n">
        <v>12870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11</v>
      </c>
      <c r="B16" t="n">
        <v>38390</v>
      </c>
      <c r="C16" t="n">
        <v>29700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12</v>
      </c>
      <c r="B17" t="n">
        <v>6096</v>
      </c>
      <c r="C17" t="n">
        <v>59400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13</v>
      </c>
      <c r="B18" t="n">
        <v>83</v>
      </c>
      <c r="C18" t="n">
        <v>128700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14</v>
      </c>
      <c r="B19" t="n">
        <v>1</v>
      </c>
      <c r="C19" t="n">
        <v>425700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26</v>
      </c>
      <c r="C7" t="n">
        <v>148500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3</v>
      </c>
      <c r="B8" t="n">
        <v>3356</v>
      </c>
      <c r="C8" t="n">
        <v>69300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4</v>
      </c>
      <c r="B9" t="n">
        <v>20651</v>
      </c>
      <c r="C9" t="n">
        <v>39600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5</v>
      </c>
      <c r="B10" t="n">
        <v>73680</v>
      </c>
      <c r="C10" t="n">
        <v>18810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6</v>
      </c>
      <c r="B11" t="n">
        <v>127087</v>
      </c>
      <c r="C11" t="n">
        <v>9900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7</v>
      </c>
      <c r="B12" t="n">
        <v>172039</v>
      </c>
      <c r="C12" t="n">
        <v>4950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8</v>
      </c>
      <c r="B13" t="n">
        <v>206321</v>
      </c>
      <c r="C13" t="n">
        <v>1980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9</v>
      </c>
      <c r="B14" t="n">
        <v>172039</v>
      </c>
      <c r="C14" t="n">
        <v>4950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10</v>
      </c>
      <c r="B15" t="n">
        <v>127087</v>
      </c>
      <c r="C15" t="n">
        <v>9900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11</v>
      </c>
      <c r="B16" t="n">
        <v>73680</v>
      </c>
      <c r="C16" t="n">
        <v>18810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12</v>
      </c>
      <c r="B17" t="n">
        <v>20651</v>
      </c>
      <c r="C17" t="n">
        <v>39600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13</v>
      </c>
      <c r="B18" t="n">
        <v>3356</v>
      </c>
      <c r="C18" t="n">
        <v>69300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14</v>
      </c>
      <c r="B19" t="n">
        <v>26</v>
      </c>
      <c r="C19" t="n">
        <v>148500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15</v>
      </c>
      <c r="B20" t="n">
        <v>1</v>
      </c>
      <c r="C20" t="n">
        <v>574200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16</v>
      </c>
      <c r="C7" t="n">
        <v>178200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3</v>
      </c>
      <c r="B8" t="n">
        <v>642</v>
      </c>
      <c r="C8" t="n">
        <v>108900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4</v>
      </c>
      <c r="B9" t="n">
        <v>15007</v>
      </c>
      <c r="C9" t="n">
        <v>49500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5</v>
      </c>
      <c r="B10" t="n">
        <v>42904</v>
      </c>
      <c r="C10" t="n">
        <v>29700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6</v>
      </c>
      <c r="B11" t="n">
        <v>104777</v>
      </c>
      <c r="C11" t="n">
        <v>12870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7</v>
      </c>
      <c r="B12" t="n">
        <v>159494</v>
      </c>
      <c r="C12" t="n">
        <v>4950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8</v>
      </c>
      <c r="B13" t="n">
        <v>177160</v>
      </c>
      <c r="C13" t="n">
        <v>2970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9</v>
      </c>
      <c r="B14" t="n">
        <v>177160</v>
      </c>
      <c r="C14" t="n">
        <v>2970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10</v>
      </c>
      <c r="B15" t="n">
        <v>159494</v>
      </c>
      <c r="C15" t="n">
        <v>4950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11</v>
      </c>
      <c r="B16" t="n">
        <v>104777</v>
      </c>
      <c r="C16" t="n">
        <v>12870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12</v>
      </c>
      <c r="B17" t="n">
        <v>42903</v>
      </c>
      <c r="C17" t="n">
        <v>29700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13</v>
      </c>
      <c r="B18" t="n">
        <v>15007</v>
      </c>
      <c r="C18" t="n">
        <v>49500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14</v>
      </c>
      <c r="B19" t="n">
        <v>642</v>
      </c>
      <c r="C19" t="n">
        <v>108900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15</v>
      </c>
      <c r="B20" t="n">
        <v>16</v>
      </c>
      <c r="C20" t="n">
        <v>178200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16</v>
      </c>
      <c r="B21" t="n">
        <v>1</v>
      </c>
      <c r="C21" t="n">
        <v>871200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221</v>
      </c>
      <c r="C7" t="n">
        <v>99000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4</v>
      </c>
      <c r="B8" t="n">
        <v>7225</v>
      </c>
      <c r="C8" t="n">
        <v>49500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5</v>
      </c>
      <c r="B9" t="n">
        <v>29158</v>
      </c>
      <c r="C9" t="n">
        <v>29700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6</v>
      </c>
      <c r="B10" t="n">
        <v>83027</v>
      </c>
      <c r="C10" t="n">
        <v>14850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7</v>
      </c>
      <c r="B11" t="n">
        <v>117682</v>
      </c>
      <c r="C11" t="n">
        <v>9900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8</v>
      </c>
      <c r="B12" t="n">
        <v>166800</v>
      </c>
      <c r="C12" t="n">
        <v>4950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9</v>
      </c>
      <c r="B13" t="n">
        <v>191774</v>
      </c>
      <c r="C13" t="n">
        <v>2970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10</v>
      </c>
      <c r="B14" t="n">
        <v>166799</v>
      </c>
      <c r="C14" t="n">
        <v>4950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11</v>
      </c>
      <c r="B15" t="n">
        <v>117682</v>
      </c>
      <c r="C15" t="n">
        <v>9900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12</v>
      </c>
      <c r="B16" t="n">
        <v>83027</v>
      </c>
      <c r="C16" t="n">
        <v>14850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13</v>
      </c>
      <c r="B17" t="n">
        <v>29158</v>
      </c>
      <c r="C17" t="n">
        <v>29700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14</v>
      </c>
      <c r="B18" t="n">
        <v>7225</v>
      </c>
      <c r="C18" t="n">
        <v>49500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15</v>
      </c>
      <c r="B19" t="n">
        <v>221</v>
      </c>
      <c r="C19" t="n">
        <v>99000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17</v>
      </c>
      <c r="B20" t="n">
        <v>1</v>
      </c>
      <c r="C20" t="n">
        <v>1089000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28</v>
      </c>
      <c r="C7" t="n">
        <v>128700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38629</v>
      </c>
      <c r="C8" t="n">
        <v>29700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131823</v>
      </c>
      <c r="C9" t="n">
        <v>12870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203299</v>
      </c>
      <c r="C10" t="n">
        <v>6930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252469</v>
      </c>
      <c r="C11" t="n">
        <v>3960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203299</v>
      </c>
      <c r="C12" t="n">
        <v>6930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131823</v>
      </c>
      <c r="C13" t="n">
        <v>12870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38629</v>
      </c>
      <c r="C14" t="n">
        <v>29700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128700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</v>
      </c>
      <c r="C7" t="n">
        <v>178200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15625</v>
      </c>
      <c r="C8" t="n">
        <v>39600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90620</v>
      </c>
      <c r="C9" t="n">
        <v>16830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167016</v>
      </c>
      <c r="C10" t="n">
        <v>8910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226738</v>
      </c>
      <c r="C11" t="n">
        <v>4950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226738</v>
      </c>
      <c r="C12" t="n">
        <v>4950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167016</v>
      </c>
      <c r="C13" t="n">
        <v>8910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90620</v>
      </c>
      <c r="C14" t="n">
        <v>16830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15625</v>
      </c>
      <c r="C15" t="n">
        <v>39600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178200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16893</v>
      </c>
      <c r="C7" t="n">
        <v>2000</v>
      </c>
      <c r="D7">
        <f>C7/$H$3</f>
        <v/>
      </c>
      <c r="E7">
        <f>IF($B$16&gt;0,B7/$B$16,0)</f>
        <v/>
      </c>
      <c r="F7">
        <f>D7*E7</f>
        <v/>
      </c>
      <c r="G7">
        <f>E7</f>
        <v/>
      </c>
    </row>
    <row r="8">
      <c r="A8" t="n">
        <v>4</v>
      </c>
      <c r="B8" t="n">
        <v>186119</v>
      </c>
      <c r="C8" t="n">
        <v>60</v>
      </c>
      <c r="D8">
        <f>C8/$H$3</f>
        <v/>
      </c>
      <c r="E8">
        <f>IF($B$16&gt;0,B8/$B$16,0)</f>
        <v/>
      </c>
      <c r="F8">
        <f>D8*E8</f>
        <v/>
      </c>
      <c r="G8">
        <f>G7+E8</f>
        <v/>
      </c>
    </row>
    <row r="9">
      <c r="A9" t="n">
        <v>5</v>
      </c>
      <c r="B9" t="n">
        <v>197992</v>
      </c>
      <c r="C9" t="n">
        <v>10</v>
      </c>
      <c r="D9">
        <f>C9/$H$3</f>
        <v/>
      </c>
      <c r="E9">
        <f>IF($B$16&gt;0,B9/$B$16,0)</f>
        <v/>
      </c>
      <c r="F9">
        <f>D9*E9</f>
        <v/>
      </c>
      <c r="G9">
        <f>G8+E9</f>
        <v/>
      </c>
    </row>
    <row r="10">
      <c r="A10" t="n">
        <v>6</v>
      </c>
      <c r="B10" t="n">
        <v>197992</v>
      </c>
      <c r="C10" t="n">
        <v>10</v>
      </c>
      <c r="D10">
        <f>C10/$H$3</f>
        <v/>
      </c>
      <c r="E10">
        <f>IF($B$16&gt;0,B10/$B$16,0)</f>
        <v/>
      </c>
      <c r="F10">
        <f>D10*E10</f>
        <v/>
      </c>
      <c r="G10">
        <f>G9+E10</f>
        <v/>
      </c>
    </row>
    <row r="11">
      <c r="A11" t="n">
        <v>7</v>
      </c>
      <c r="B11" t="n">
        <v>197992</v>
      </c>
      <c r="C11" t="n">
        <v>10</v>
      </c>
      <c r="D11">
        <f>C11/$H$3</f>
        <v/>
      </c>
      <c r="E11">
        <f>IF($B$16&gt;0,B11/$B$16,0)</f>
        <v/>
      </c>
      <c r="F11">
        <f>D11*E11</f>
        <v/>
      </c>
      <c r="G11">
        <f>G10+E11</f>
        <v/>
      </c>
    </row>
    <row r="12">
      <c r="A12" t="n">
        <v>8</v>
      </c>
      <c r="B12" t="n">
        <v>186118</v>
      </c>
      <c r="C12" t="n">
        <v>60</v>
      </c>
      <c r="D12">
        <f>C12/$H$3</f>
        <v/>
      </c>
      <c r="E12">
        <f>IF($B$16&gt;0,B12/$B$16,0)</f>
        <v/>
      </c>
      <c r="F12">
        <f>D12*E12</f>
        <v/>
      </c>
      <c r="G12">
        <f>G11+E12</f>
        <v/>
      </c>
    </row>
    <row r="13">
      <c r="A13" t="n">
        <v>9</v>
      </c>
      <c r="B13" t="n">
        <v>16893</v>
      </c>
      <c r="C13" t="n">
        <v>2000</v>
      </c>
      <c r="D13">
        <f>C13/$H$3</f>
        <v/>
      </c>
      <c r="E13">
        <f>IF($B$16&gt;0,B13/$B$16,0)</f>
        <v/>
      </c>
      <c r="F13">
        <f>D13*E13</f>
        <v/>
      </c>
      <c r="G13">
        <f>G12+E13</f>
        <v/>
      </c>
    </row>
    <row r="14">
      <c r="A14" t="n">
        <v>11</v>
      </c>
      <c r="B14" t="n">
        <v>1</v>
      </c>
      <c r="C14" t="n">
        <v>200000</v>
      </c>
      <c r="D14">
        <f>C14/$H$3</f>
        <v/>
      </c>
      <c r="E14">
        <f>IF($B$16&gt;0,B14/$B$16,0)</f>
        <v/>
      </c>
      <c r="F14">
        <f>D14*E14</f>
        <v/>
      </c>
      <c r="G14">
        <f>G13+E14</f>
        <v/>
      </c>
    </row>
    <row r="16">
      <c r="A16" s="3" t="inlineStr">
        <is>
          <t>CHECK_SUMS</t>
        </is>
      </c>
      <c r="B16">
        <f>SUM(B7:B14)</f>
        <v/>
      </c>
      <c r="C16" t="inlineStr">
        <is>
          <t>payout_raw_sum</t>
        </is>
      </c>
      <c r="D16">
        <f>SUM(D7:D14)</f>
        <v/>
      </c>
      <c r="E16">
        <f>SUM(E7:E14)</f>
        <v/>
      </c>
      <c r="F16">
        <f>SUM(F7:F14)</f>
        <v/>
      </c>
      <c r="G16">
        <f>IF($B$3&gt;0,F16/$B$3,0)</f>
        <v/>
      </c>
      <c r="H16">
        <f>IF($D$3="","N/A",ABS(G16-$D$3)&lt;=$F$3)</f>
        <v/>
      </c>
    </row>
    <row r="17">
      <c r="A17" t="inlineStr">
        <is>
          <t>rtp_drift</t>
        </is>
      </c>
      <c r="B17">
        <f>IF($D$3="","",G16-$D$3)</f>
        <v/>
      </c>
    </row>
    <row r="18">
      <c r="A18" t="inlineStr">
        <is>
          <t>prob_sum_check</t>
        </is>
      </c>
      <c r="B18">
        <f>ABS(E16-1)&lt;=1E-9</f>
        <v/>
      </c>
    </row>
    <row r="19">
      <c r="A19" t="inlineStr">
        <is>
          <t>max_win_value</t>
        </is>
      </c>
      <c r="B19">
        <f>MAX(D7:D14)</f>
        <v/>
      </c>
    </row>
    <row r="20">
      <c r="A20" t="inlineStr">
        <is>
          <t>max_win_probability</t>
        </is>
      </c>
      <c r="B20">
        <f>SUMIFS(E7:E14,D7:D14,B19)</f>
        <v/>
      </c>
    </row>
    <row r="21">
      <c r="A21" t="inlineStr">
        <is>
          <t>outcome_rows</t>
        </is>
      </c>
      <c r="B21">
        <f>ROWS(A7:A14)</f>
        <v/>
      </c>
    </row>
    <row r="22">
      <c r="A22" t="inlineStr">
        <is>
          <t>unique_multipliers</t>
        </is>
      </c>
      <c r="B22">
        <f>SUMPRODUCT(1/COUNTIF(D7:D14,D7:D14))</f>
        <v/>
      </c>
    </row>
    <row r="23">
      <c r="A23" t="inlineStr">
        <is>
          <t>max_exposure_with_max_bet</t>
        </is>
      </c>
      <c r="B23">
        <f>B19*500.0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6409</v>
      </c>
      <c r="C7" t="n">
        <v>4000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4</v>
      </c>
      <c r="B8" t="n">
        <v>156091</v>
      </c>
      <c r="C8" t="n">
        <v>110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5</v>
      </c>
      <c r="B9" t="n">
        <v>168057</v>
      </c>
      <c r="C9" t="n">
        <v>20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6</v>
      </c>
      <c r="B10" t="n">
        <v>169443</v>
      </c>
      <c r="C10" t="n">
        <v>10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7</v>
      </c>
      <c r="B11" t="n">
        <v>169443</v>
      </c>
      <c r="C11" t="n">
        <v>10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8</v>
      </c>
      <c r="B12" t="n">
        <v>168057</v>
      </c>
      <c r="C12" t="n">
        <v>20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9</v>
      </c>
      <c r="B13" t="n">
        <v>156091</v>
      </c>
      <c r="C13" t="n">
        <v>110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10</v>
      </c>
      <c r="B14" t="n">
        <v>6408</v>
      </c>
      <c r="C14" t="n">
        <v>4000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12</v>
      </c>
      <c r="B15" t="n">
        <v>1</v>
      </c>
      <c r="C15" t="n">
        <v>320000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3284</v>
      </c>
      <c r="C7" t="n">
        <v>6000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4</v>
      </c>
      <c r="B8" t="n">
        <v>133836</v>
      </c>
      <c r="C8" t="n">
        <v>150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5</v>
      </c>
      <c r="B9" t="n">
        <v>143499</v>
      </c>
      <c r="C9" t="n">
        <v>40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6</v>
      </c>
      <c r="B10" t="n">
        <v>146254</v>
      </c>
      <c r="C10" t="n">
        <v>10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7</v>
      </c>
      <c r="B11" t="n">
        <v>146254</v>
      </c>
      <c r="C11" t="n">
        <v>10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8</v>
      </c>
      <c r="B12" t="n">
        <v>146253</v>
      </c>
      <c r="C12" t="n">
        <v>10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9</v>
      </c>
      <c r="B13" t="n">
        <v>143499</v>
      </c>
      <c r="C13" t="n">
        <v>40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10</v>
      </c>
      <c r="B14" t="n">
        <v>133836</v>
      </c>
      <c r="C14" t="n">
        <v>150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11</v>
      </c>
      <c r="B15" t="n">
        <v>3284</v>
      </c>
      <c r="C15" t="n">
        <v>6000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13</v>
      </c>
      <c r="B16" t="n">
        <v>1</v>
      </c>
      <c r="C16" t="n">
        <v>620000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407</v>
      </c>
      <c r="C7" t="n">
        <v>10000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4</v>
      </c>
      <c r="B8" t="n">
        <v>110686</v>
      </c>
      <c r="C8" t="n">
        <v>300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5</v>
      </c>
      <c r="B9" t="n">
        <v>127151</v>
      </c>
      <c r="C9" t="n">
        <v>60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6</v>
      </c>
      <c r="B10" t="n">
        <v>130878</v>
      </c>
      <c r="C10" t="n">
        <v>10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7</v>
      </c>
      <c r="B11" t="n">
        <v>130878</v>
      </c>
      <c r="C11" t="n">
        <v>10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8</v>
      </c>
      <c r="B12" t="n">
        <v>130878</v>
      </c>
      <c r="C12" t="n">
        <v>10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9</v>
      </c>
      <c r="B13" t="n">
        <v>130878</v>
      </c>
      <c r="C13" t="n">
        <v>10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10</v>
      </c>
      <c r="B14" t="n">
        <v>127151</v>
      </c>
      <c r="C14" t="n">
        <v>60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11</v>
      </c>
      <c r="B15" t="n">
        <v>110685</v>
      </c>
      <c r="C15" t="n">
        <v>300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12</v>
      </c>
      <c r="B16" t="n">
        <v>407</v>
      </c>
      <c r="C16" t="n">
        <v>10000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14</v>
      </c>
      <c r="B17" t="n">
        <v>1</v>
      </c>
      <c r="C17" t="n">
        <v>1000000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8</v>
      </c>
      <c r="C7" t="n">
        <v>16000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4</v>
      </c>
      <c r="B8" t="n">
        <v>98373</v>
      </c>
      <c r="C8" t="n">
        <v>300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5</v>
      </c>
      <c r="B9" t="n">
        <v>109602</v>
      </c>
      <c r="C9" t="n">
        <v>120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6</v>
      </c>
      <c r="B10" t="n">
        <v>116386</v>
      </c>
      <c r="C10" t="n">
        <v>20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7</v>
      </c>
      <c r="B11" t="n">
        <v>117087</v>
      </c>
      <c r="C11" t="n">
        <v>10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8</v>
      </c>
      <c r="B12" t="n">
        <v>117087</v>
      </c>
      <c r="C12" t="n">
        <v>10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9</v>
      </c>
      <c r="B13" t="n">
        <v>117087</v>
      </c>
      <c r="C13" t="n">
        <v>10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10</v>
      </c>
      <c r="B14" t="n">
        <v>116386</v>
      </c>
      <c r="C14" t="n">
        <v>20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11</v>
      </c>
      <c r="B15" t="n">
        <v>109602</v>
      </c>
      <c r="C15" t="n">
        <v>120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12</v>
      </c>
      <c r="B16" t="n">
        <v>98373</v>
      </c>
      <c r="C16" t="n">
        <v>300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13</v>
      </c>
      <c r="B17" t="n">
        <v>8</v>
      </c>
      <c r="C17" t="n">
        <v>16000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15</v>
      </c>
      <c r="B18" t="n">
        <v>1</v>
      </c>
      <c r="C18" t="n">
        <v>2300000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4</v>
      </c>
      <c r="B7" t="n">
        <v>40719</v>
      </c>
      <c r="C7" t="n">
        <v>600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5</v>
      </c>
      <c r="B8" t="n">
        <v>89911</v>
      </c>
      <c r="C8" t="n">
        <v>180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6</v>
      </c>
      <c r="B9" t="n">
        <v>121580</v>
      </c>
      <c r="C9" t="n">
        <v>20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7</v>
      </c>
      <c r="B10" t="n">
        <v>123895</v>
      </c>
      <c r="C10" t="n">
        <v>10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8</v>
      </c>
      <c r="B11" t="n">
        <v>123895</v>
      </c>
      <c r="C11" t="n">
        <v>10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9</v>
      </c>
      <c r="B12" t="n">
        <v>123895</v>
      </c>
      <c r="C12" t="n">
        <v>10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10</v>
      </c>
      <c r="B13" t="n">
        <v>123895</v>
      </c>
      <c r="C13" t="n">
        <v>10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11</v>
      </c>
      <c r="B14" t="n">
        <v>121580</v>
      </c>
      <c r="C14" t="n">
        <v>20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12</v>
      </c>
      <c r="B15" t="n">
        <v>89910</v>
      </c>
      <c r="C15" t="n">
        <v>180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13</v>
      </c>
      <c r="B16" t="n">
        <v>40719</v>
      </c>
      <c r="C16" t="n">
        <v>600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16</v>
      </c>
      <c r="B17" t="n">
        <v>1</v>
      </c>
      <c r="C17" t="n">
        <v>5000000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4</v>
      </c>
      <c r="B7" t="n">
        <v>18431</v>
      </c>
      <c r="C7" t="n">
        <v>700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5</v>
      </c>
      <c r="B8" t="n">
        <v>65201</v>
      </c>
      <c r="C8" t="n">
        <v>250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6</v>
      </c>
      <c r="B9" t="n">
        <v>96597</v>
      </c>
      <c r="C9" t="n">
        <v>110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7</v>
      </c>
      <c r="B10" t="n">
        <v>127909</v>
      </c>
      <c r="C10" t="n">
        <v>10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8</v>
      </c>
      <c r="B11" t="n">
        <v>127908</v>
      </c>
      <c r="C11" t="n">
        <v>10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9</v>
      </c>
      <c r="B12" t="n">
        <v>127908</v>
      </c>
      <c r="C12" t="n">
        <v>10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10</v>
      </c>
      <c r="B13" t="n">
        <v>127908</v>
      </c>
      <c r="C13" t="n">
        <v>10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11</v>
      </c>
      <c r="B14" t="n">
        <v>127908</v>
      </c>
      <c r="C14" t="n">
        <v>10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12</v>
      </c>
      <c r="B15" t="n">
        <v>96597</v>
      </c>
      <c r="C15" t="n">
        <v>110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13</v>
      </c>
      <c r="B16" t="n">
        <v>65201</v>
      </c>
      <c r="C16" t="n">
        <v>250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14</v>
      </c>
      <c r="B17" t="n">
        <v>18431</v>
      </c>
      <c r="C17" t="n">
        <v>700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17</v>
      </c>
      <c r="B18" t="n">
        <v>1</v>
      </c>
      <c r="C18" t="n">
        <v>10000000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53</v>
      </c>
      <c r="C7" t="n">
        <v>4600</v>
      </c>
      <c r="D7">
        <f>C7/$H$3</f>
        <v/>
      </c>
      <c r="E7">
        <f>IF($B$16&gt;0,B7/$B$16,0)</f>
        <v/>
      </c>
      <c r="F7">
        <f>D7*E7</f>
        <v/>
      </c>
      <c r="G7">
        <f>E7</f>
        <v/>
      </c>
    </row>
    <row r="8">
      <c r="A8" t="n">
        <v>3</v>
      </c>
      <c r="B8" t="n">
        <v>39227</v>
      </c>
      <c r="C8" t="n">
        <v>1100</v>
      </c>
      <c r="D8">
        <f>C8/$H$3</f>
        <v/>
      </c>
      <c r="E8">
        <f>IF($B$16&gt;0,B8/$B$16,0)</f>
        <v/>
      </c>
      <c r="F8">
        <f>D8*E8</f>
        <v/>
      </c>
      <c r="G8">
        <f>G7+E8</f>
        <v/>
      </c>
    </row>
    <row r="9">
      <c r="A9" t="n">
        <v>4</v>
      </c>
      <c r="B9" t="n">
        <v>307147</v>
      </c>
      <c r="C9" t="n">
        <v>10</v>
      </c>
      <c r="D9">
        <f>C9/$H$3</f>
        <v/>
      </c>
      <c r="E9">
        <f>IF($B$16&gt;0,B9/$B$16,0)</f>
        <v/>
      </c>
      <c r="F9">
        <f>D9*E9</f>
        <v/>
      </c>
      <c r="G9">
        <f>G8+E9</f>
        <v/>
      </c>
    </row>
    <row r="10">
      <c r="A10" t="n">
        <v>5</v>
      </c>
      <c r="B10" t="n">
        <v>307146</v>
      </c>
      <c r="C10" t="n">
        <v>10</v>
      </c>
      <c r="D10">
        <f>C10/$H$3</f>
        <v/>
      </c>
      <c r="E10">
        <f>IF($B$16&gt;0,B10/$B$16,0)</f>
        <v/>
      </c>
      <c r="F10">
        <f>D10*E10</f>
        <v/>
      </c>
      <c r="G10">
        <f>G9+E10</f>
        <v/>
      </c>
    </row>
    <row r="11">
      <c r="A11" t="n">
        <v>6</v>
      </c>
      <c r="B11" t="n">
        <v>307146</v>
      </c>
      <c r="C11" t="n">
        <v>10</v>
      </c>
      <c r="D11">
        <f>C11/$H$3</f>
        <v/>
      </c>
      <c r="E11">
        <f>IF($B$16&gt;0,B11/$B$16,0)</f>
        <v/>
      </c>
      <c r="F11">
        <f>D11*E11</f>
        <v/>
      </c>
      <c r="G11">
        <f>G10+E11</f>
        <v/>
      </c>
    </row>
    <row r="12">
      <c r="A12" t="n">
        <v>7</v>
      </c>
      <c r="B12" t="n">
        <v>39227</v>
      </c>
      <c r="C12" t="n">
        <v>1100</v>
      </c>
      <c r="D12">
        <f>C12/$H$3</f>
        <v/>
      </c>
      <c r="E12">
        <f>IF($B$16&gt;0,B12/$B$16,0)</f>
        <v/>
      </c>
      <c r="F12">
        <f>D12*E12</f>
        <v/>
      </c>
      <c r="G12">
        <f>G11+E12</f>
        <v/>
      </c>
    </row>
    <row r="13">
      <c r="A13" t="n">
        <v>8</v>
      </c>
      <c r="B13" t="n">
        <v>53</v>
      </c>
      <c r="C13" t="n">
        <v>4600</v>
      </c>
      <c r="D13">
        <f>C13/$H$3</f>
        <v/>
      </c>
      <c r="E13">
        <f>IF($B$16&gt;0,B13/$B$16,0)</f>
        <v/>
      </c>
      <c r="F13">
        <f>D13*E13</f>
        <v/>
      </c>
      <c r="G13">
        <f>G12+E13</f>
        <v/>
      </c>
    </row>
    <row r="14">
      <c r="A14" t="n">
        <v>9</v>
      </c>
      <c r="B14" t="n">
        <v>1</v>
      </c>
      <c r="C14" t="n">
        <v>50000</v>
      </c>
      <c r="D14">
        <f>C14/$H$3</f>
        <v/>
      </c>
      <c r="E14">
        <f>IF($B$16&gt;0,B14/$B$16,0)</f>
        <v/>
      </c>
      <c r="F14">
        <f>D14*E14</f>
        <v/>
      </c>
      <c r="G14">
        <f>G13+E14</f>
        <v/>
      </c>
    </row>
    <row r="16">
      <c r="A16" s="3" t="inlineStr">
        <is>
          <t>CHECK_SUMS</t>
        </is>
      </c>
      <c r="B16">
        <f>SUM(B7:B14)</f>
        <v/>
      </c>
      <c r="C16" t="inlineStr">
        <is>
          <t>payout_raw_sum</t>
        </is>
      </c>
      <c r="D16">
        <f>SUM(D7:D14)</f>
        <v/>
      </c>
      <c r="E16">
        <f>SUM(E7:E14)</f>
        <v/>
      </c>
      <c r="F16">
        <f>SUM(F7:F14)</f>
        <v/>
      </c>
      <c r="G16">
        <f>IF($B$3&gt;0,F16/$B$3,0)</f>
        <v/>
      </c>
      <c r="H16">
        <f>IF($D$3="","N/A",ABS(G16-$D$3)&lt;=$F$3)</f>
        <v/>
      </c>
    </row>
    <row r="17">
      <c r="A17" t="inlineStr">
        <is>
          <t>rtp_drift</t>
        </is>
      </c>
      <c r="B17">
        <f>IF($D$3="","",G16-$D$3)</f>
        <v/>
      </c>
    </row>
    <row r="18">
      <c r="A18" t="inlineStr">
        <is>
          <t>prob_sum_check</t>
        </is>
      </c>
      <c r="B18">
        <f>ABS(E16-1)&lt;=1E-9</f>
        <v/>
      </c>
    </row>
    <row r="19">
      <c r="A19" t="inlineStr">
        <is>
          <t>max_win_value</t>
        </is>
      </c>
      <c r="B19">
        <f>MAX(D7:D14)</f>
        <v/>
      </c>
    </row>
    <row r="20">
      <c r="A20" t="inlineStr">
        <is>
          <t>max_win_probability</t>
        </is>
      </c>
      <c r="B20">
        <f>SUMIFS(E7:E14,D7:D14,B19)</f>
        <v/>
      </c>
    </row>
    <row r="21">
      <c r="A21" t="inlineStr">
        <is>
          <t>outcome_rows</t>
        </is>
      </c>
      <c r="B21">
        <f>ROWS(A7:A14)</f>
        <v/>
      </c>
    </row>
    <row r="22">
      <c r="A22" t="inlineStr">
        <is>
          <t>unique_multipliers</t>
        </is>
      </c>
      <c r="B22">
        <f>SUMPRODUCT(1/COUNTIF(D7:D14,D7:D14))</f>
        <v/>
      </c>
    </row>
    <row r="23">
      <c r="A23" t="inlineStr">
        <is>
          <t>max_exposure_with_max_bet</t>
        </is>
      </c>
      <c r="B23">
        <f>B19*500.0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3</v>
      </c>
      <c r="C7" t="n">
        <v>7800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3</v>
      </c>
      <c r="B8" t="n">
        <v>27253</v>
      </c>
      <c r="C8" t="n">
        <v>1500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4</v>
      </c>
      <c r="B9" t="n">
        <v>234653</v>
      </c>
      <c r="C9" t="n">
        <v>20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5</v>
      </c>
      <c r="B10" t="n">
        <v>238091</v>
      </c>
      <c r="C10" t="n">
        <v>10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6</v>
      </c>
      <c r="B11" t="n">
        <v>238091</v>
      </c>
      <c r="C11" t="n">
        <v>10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7</v>
      </c>
      <c r="B12" t="n">
        <v>234653</v>
      </c>
      <c r="C12" t="n">
        <v>20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8</v>
      </c>
      <c r="B13" t="n">
        <v>27252</v>
      </c>
      <c r="C13" t="n">
        <v>1500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9</v>
      </c>
      <c r="B14" t="n">
        <v>3</v>
      </c>
      <c r="C14" t="n">
        <v>7800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10</v>
      </c>
      <c r="B15" t="n">
        <v>1</v>
      </c>
      <c r="C15" t="n">
        <v>100000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6175</v>
      </c>
      <c r="C7" t="n">
        <v>1000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3</v>
      </c>
      <c r="B8" t="n">
        <v>70857</v>
      </c>
      <c r="C8" t="n">
        <v>300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4</v>
      </c>
      <c r="B9" t="n">
        <v>147334</v>
      </c>
      <c r="C9" t="n">
        <v>90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5</v>
      </c>
      <c r="B10" t="n">
        <v>181608</v>
      </c>
      <c r="C10" t="n">
        <v>30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6</v>
      </c>
      <c r="B11" t="n">
        <v>188051</v>
      </c>
      <c r="C11" t="n">
        <v>20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7</v>
      </c>
      <c r="B12" t="n">
        <v>181608</v>
      </c>
      <c r="C12" t="n">
        <v>30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8</v>
      </c>
      <c r="B13" t="n">
        <v>147334</v>
      </c>
      <c r="C13" t="n">
        <v>90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9</v>
      </c>
      <c r="B14" t="n">
        <v>70857</v>
      </c>
      <c r="C14" t="n">
        <v>300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10</v>
      </c>
      <c r="B15" t="n">
        <v>6175</v>
      </c>
      <c r="C15" t="n">
        <v>1000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11</v>
      </c>
      <c r="B16" t="n">
        <v>1</v>
      </c>
      <c r="C16" t="n">
        <v>7600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2022</v>
      </c>
      <c r="C7" t="n">
        <v>1400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3</v>
      </c>
      <c r="B8" t="n">
        <v>35021</v>
      </c>
      <c r="C8" t="n">
        <v>520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4</v>
      </c>
      <c r="B9" t="n">
        <v>119996</v>
      </c>
      <c r="C9" t="n">
        <v>140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5</v>
      </c>
      <c r="B10" t="n">
        <v>165925</v>
      </c>
      <c r="C10" t="n">
        <v>40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6</v>
      </c>
      <c r="B11" t="n">
        <v>177036</v>
      </c>
      <c r="C11" t="n">
        <v>20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7</v>
      </c>
      <c r="B12" t="n">
        <v>177035</v>
      </c>
      <c r="C12" t="n">
        <v>20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8</v>
      </c>
      <c r="B13" t="n">
        <v>165925</v>
      </c>
      <c r="C13" t="n">
        <v>40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9</v>
      </c>
      <c r="B14" t="n">
        <v>119996</v>
      </c>
      <c r="C14" t="n">
        <v>140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10</v>
      </c>
      <c r="B15" t="n">
        <v>35021</v>
      </c>
      <c r="C15" t="n">
        <v>520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11</v>
      </c>
      <c r="B16" t="n">
        <v>2022</v>
      </c>
      <c r="C16" t="n">
        <v>1400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12</v>
      </c>
      <c r="B17" t="n">
        <v>1</v>
      </c>
      <c r="C17" t="n">
        <v>12000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166</v>
      </c>
      <c r="C7" t="n">
        <v>2400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3</v>
      </c>
      <c r="B8" t="n">
        <v>16582</v>
      </c>
      <c r="C8" t="n">
        <v>810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4</v>
      </c>
      <c r="B9" t="n">
        <v>96980</v>
      </c>
      <c r="C9" t="n">
        <v>200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5</v>
      </c>
      <c r="B10" t="n">
        <v>141302</v>
      </c>
      <c r="C10" t="n">
        <v>70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6</v>
      </c>
      <c r="B11" t="n">
        <v>163313</v>
      </c>
      <c r="C11" t="n">
        <v>20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7</v>
      </c>
      <c r="B12" t="n">
        <v>163313</v>
      </c>
      <c r="C12" t="n">
        <v>20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8</v>
      </c>
      <c r="B13" t="n">
        <v>163313</v>
      </c>
      <c r="C13" t="n">
        <v>20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9</v>
      </c>
      <c r="B14" t="n">
        <v>141302</v>
      </c>
      <c r="C14" t="n">
        <v>70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10</v>
      </c>
      <c r="B15" t="n">
        <v>96980</v>
      </c>
      <c r="C15" t="n">
        <v>200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11</v>
      </c>
      <c r="B16" t="n">
        <v>16582</v>
      </c>
      <c r="C16" t="n">
        <v>810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12</v>
      </c>
      <c r="B17" t="n">
        <v>166</v>
      </c>
      <c r="C17" t="n">
        <v>2400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13</v>
      </c>
      <c r="B18" t="n">
        <v>1</v>
      </c>
      <c r="C18" t="n">
        <v>17000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4</v>
      </c>
      <c r="C7" t="n">
        <v>3700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3</v>
      </c>
      <c r="B8" t="n">
        <v>7209</v>
      </c>
      <c r="C8" t="n">
        <v>1100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4</v>
      </c>
      <c r="B9" t="n">
        <v>53155</v>
      </c>
      <c r="C9" t="n">
        <v>400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5</v>
      </c>
      <c r="B10" t="n">
        <v>125144</v>
      </c>
      <c r="C10" t="n">
        <v>100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6</v>
      </c>
      <c r="B11" t="n">
        <v>157244</v>
      </c>
      <c r="C11" t="n">
        <v>20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7</v>
      </c>
      <c r="B12" t="n">
        <v>157244</v>
      </c>
      <c r="C12" t="n">
        <v>20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8</v>
      </c>
      <c r="B13" t="n">
        <v>157244</v>
      </c>
      <c r="C13" t="n">
        <v>20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9</v>
      </c>
      <c r="B14" t="n">
        <v>157243</v>
      </c>
      <c r="C14" t="n">
        <v>20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10</v>
      </c>
      <c r="B15" t="n">
        <v>125144</v>
      </c>
      <c r="C15" t="n">
        <v>100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11</v>
      </c>
      <c r="B16" t="n">
        <v>53155</v>
      </c>
      <c r="C16" t="n">
        <v>400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12</v>
      </c>
      <c r="B17" t="n">
        <v>7209</v>
      </c>
      <c r="C17" t="n">
        <v>1100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13</v>
      </c>
      <c r="B18" t="n">
        <v>4</v>
      </c>
      <c r="C18" t="n">
        <v>3700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14</v>
      </c>
      <c r="B19" t="n">
        <v>1</v>
      </c>
      <c r="C19" t="n">
        <v>26000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1079</v>
      </c>
      <c r="C7" t="n">
        <v>1800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4</v>
      </c>
      <c r="B8" t="n">
        <v>39331</v>
      </c>
      <c r="C8" t="n">
        <v>500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5</v>
      </c>
      <c r="B9" t="n">
        <v>92711</v>
      </c>
      <c r="C9" t="n">
        <v>190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6</v>
      </c>
      <c r="B10" t="n">
        <v>144323</v>
      </c>
      <c r="C10" t="n">
        <v>30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7</v>
      </c>
      <c r="B11" t="n">
        <v>148371</v>
      </c>
      <c r="C11" t="n">
        <v>20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8</v>
      </c>
      <c r="B12" t="n">
        <v>148370</v>
      </c>
      <c r="C12" t="n">
        <v>20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9</v>
      </c>
      <c r="B13" t="n">
        <v>148370</v>
      </c>
      <c r="C13" t="n">
        <v>20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10</v>
      </c>
      <c r="B14" t="n">
        <v>144323</v>
      </c>
      <c r="C14" t="n">
        <v>30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11</v>
      </c>
      <c r="B15" t="n">
        <v>92711</v>
      </c>
      <c r="C15" t="n">
        <v>190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12</v>
      </c>
      <c r="B16" t="n">
        <v>39331</v>
      </c>
      <c r="C16" t="n">
        <v>500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13</v>
      </c>
      <c r="B17" t="n">
        <v>1079</v>
      </c>
      <c r="C17" t="n">
        <v>1800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15</v>
      </c>
      <c r="B18" t="n">
        <v>1</v>
      </c>
      <c r="C18" t="n">
        <v>42000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136</v>
      </c>
      <c r="C7" t="n">
        <v>2700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4</v>
      </c>
      <c r="B8" t="n">
        <v>18698</v>
      </c>
      <c r="C8" t="n">
        <v>800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5</v>
      </c>
      <c r="B9" t="n">
        <v>68315</v>
      </c>
      <c r="C9" t="n">
        <v>300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6</v>
      </c>
      <c r="B10" t="n">
        <v>130579</v>
      </c>
      <c r="C10" t="n">
        <v>50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7</v>
      </c>
      <c r="B11" t="n">
        <v>141136</v>
      </c>
      <c r="C11" t="n">
        <v>20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8</v>
      </c>
      <c r="B12" t="n">
        <v>141136</v>
      </c>
      <c r="C12" t="n">
        <v>20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9</v>
      </c>
      <c r="B13" t="n">
        <v>141136</v>
      </c>
      <c r="C13" t="n">
        <v>20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10</v>
      </c>
      <c r="B14" t="n">
        <v>141136</v>
      </c>
      <c r="C14" t="n">
        <v>20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11</v>
      </c>
      <c r="B15" t="n">
        <v>130579</v>
      </c>
      <c r="C15" t="n">
        <v>50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12</v>
      </c>
      <c r="B16" t="n">
        <v>68314</v>
      </c>
      <c r="C16" t="n">
        <v>300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13</v>
      </c>
      <c r="B17" t="n">
        <v>18698</v>
      </c>
      <c r="C17" t="n">
        <v>800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14</v>
      </c>
      <c r="B18" t="n">
        <v>136</v>
      </c>
      <c r="C18" t="n">
        <v>2700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16</v>
      </c>
      <c r="B19" t="n">
        <v>1</v>
      </c>
      <c r="C19" t="n">
        <v>62000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31</v>
      </c>
      <c r="C7" t="n">
        <v>2600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4</v>
      </c>
      <c r="B8" t="n">
        <v>8163</v>
      </c>
      <c r="C8" t="n">
        <v>900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5</v>
      </c>
      <c r="B9" t="n">
        <v>42226</v>
      </c>
      <c r="C9" t="n">
        <v>400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6</v>
      </c>
      <c r="B10" t="n">
        <v>81484</v>
      </c>
      <c r="C10" t="n">
        <v>200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7</v>
      </c>
      <c r="B11" t="n">
        <v>147239</v>
      </c>
      <c r="C11" t="n">
        <v>20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8</v>
      </c>
      <c r="B12" t="n">
        <v>147238</v>
      </c>
      <c r="C12" t="n">
        <v>20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9</v>
      </c>
      <c r="B13" t="n">
        <v>147238</v>
      </c>
      <c r="C13" t="n">
        <v>20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10</v>
      </c>
      <c r="B14" t="n">
        <v>147238</v>
      </c>
      <c r="C14" t="n">
        <v>20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11</v>
      </c>
      <c r="B15" t="n">
        <v>147238</v>
      </c>
      <c r="C15" t="n">
        <v>20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12</v>
      </c>
      <c r="B16" t="n">
        <v>81484</v>
      </c>
      <c r="C16" t="n">
        <v>200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13</v>
      </c>
      <c r="B17" t="n">
        <v>42226</v>
      </c>
      <c r="C17" t="n">
        <v>400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14</v>
      </c>
      <c r="B18" t="n">
        <v>8163</v>
      </c>
      <c r="C18" t="n">
        <v>900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15</v>
      </c>
      <c r="B19" t="n">
        <v>31</v>
      </c>
      <c r="C19" t="n">
        <v>2600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17</v>
      </c>
      <c r="B20" t="n">
        <v>1</v>
      </c>
      <c r="C20" t="n">
        <v>100000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3</v>
      </c>
      <c r="C7" t="n">
        <v>2900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49565</v>
      </c>
      <c r="C8" t="n">
        <v>400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131430</v>
      </c>
      <c r="C9" t="n">
        <v>150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209886</v>
      </c>
      <c r="C10" t="n">
        <v>30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218234</v>
      </c>
      <c r="C11" t="n">
        <v>20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209886</v>
      </c>
      <c r="C12" t="n">
        <v>30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131430</v>
      </c>
      <c r="C13" t="n">
        <v>150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49565</v>
      </c>
      <c r="C14" t="n">
        <v>400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2900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17622</v>
      </c>
      <c r="C7" t="n">
        <v>700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3</v>
      </c>
      <c r="B8" t="n">
        <v>105820</v>
      </c>
      <c r="C8" t="n">
        <v>200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4</v>
      </c>
      <c r="B9" t="n">
        <v>174802</v>
      </c>
      <c r="C9" t="n">
        <v>60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5</v>
      </c>
      <c r="B10" t="n">
        <v>201756</v>
      </c>
      <c r="C10" t="n">
        <v>20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6</v>
      </c>
      <c r="B11" t="n">
        <v>201756</v>
      </c>
      <c r="C11" t="n">
        <v>20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7</v>
      </c>
      <c r="B12" t="n">
        <v>174802</v>
      </c>
      <c r="C12" t="n">
        <v>60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8</v>
      </c>
      <c r="B13" t="n">
        <v>105819</v>
      </c>
      <c r="C13" t="n">
        <v>200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9</v>
      </c>
      <c r="B14" t="n">
        <v>17622</v>
      </c>
      <c r="C14" t="n">
        <v>700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10</v>
      </c>
      <c r="B15" t="n">
        <v>1</v>
      </c>
      <c r="C15" t="n">
        <v>4300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</v>
      </c>
      <c r="C7" t="n">
        <v>890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6697</v>
      </c>
      <c r="C8" t="n">
        <v>300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77086</v>
      </c>
      <c r="C9" t="n">
        <v>140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121881</v>
      </c>
      <c r="C10" t="n">
        <v>110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141990</v>
      </c>
      <c r="C11" t="n">
        <v>100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304691</v>
      </c>
      <c r="C12" t="n">
        <v>50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141990</v>
      </c>
      <c r="C13" t="n">
        <v>100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121881</v>
      </c>
      <c r="C14" t="n">
        <v>110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77086</v>
      </c>
      <c r="C15" t="n">
        <v>140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6696</v>
      </c>
      <c r="C16" t="n">
        <v>300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</v>
      </c>
      <c r="C17" t="n">
        <v>890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3366</v>
      </c>
      <c r="C7" t="n">
        <v>300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3</v>
      </c>
      <c r="B8" t="n">
        <v>26312</v>
      </c>
      <c r="C8" t="n">
        <v>190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4</v>
      </c>
      <c r="B9" t="n">
        <v>80781</v>
      </c>
      <c r="C9" t="n">
        <v>130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5</v>
      </c>
      <c r="B10" t="n">
        <v>141540</v>
      </c>
      <c r="C10" t="n">
        <v>100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6</v>
      </c>
      <c r="B11" t="n">
        <v>248001</v>
      </c>
      <c r="C11" t="n">
        <v>70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7</v>
      </c>
      <c r="B12" t="n">
        <v>248001</v>
      </c>
      <c r="C12" t="n">
        <v>70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8</v>
      </c>
      <c r="B13" t="n">
        <v>141540</v>
      </c>
      <c r="C13" t="n">
        <v>100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9</v>
      </c>
      <c r="B14" t="n">
        <v>80780</v>
      </c>
      <c r="C14" t="n">
        <v>130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10</v>
      </c>
      <c r="B15" t="n">
        <v>26312</v>
      </c>
      <c r="C15" t="n">
        <v>190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11</v>
      </c>
      <c r="B16" t="n">
        <v>3366</v>
      </c>
      <c r="C16" t="n">
        <v>300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12</v>
      </c>
      <c r="B17" t="n">
        <v>1</v>
      </c>
      <c r="C17" t="n">
        <v>840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2704</v>
      </c>
      <c r="C7" t="n">
        <v>300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3</v>
      </c>
      <c r="B8" t="n">
        <v>40044</v>
      </c>
      <c r="C8" t="n">
        <v>160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4</v>
      </c>
      <c r="B9" t="n">
        <v>58851</v>
      </c>
      <c r="C9" t="n">
        <v>140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5</v>
      </c>
      <c r="B10" t="n">
        <v>104855</v>
      </c>
      <c r="C10" t="n">
        <v>110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6</v>
      </c>
      <c r="B11" t="n">
        <v>127117</v>
      </c>
      <c r="C11" t="n">
        <v>100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7</v>
      </c>
      <c r="B12" t="n">
        <v>332858</v>
      </c>
      <c r="C12" t="n">
        <v>50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8</v>
      </c>
      <c r="B13" t="n">
        <v>127116</v>
      </c>
      <c r="C13" t="n">
        <v>100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9</v>
      </c>
      <c r="B14" t="n">
        <v>104855</v>
      </c>
      <c r="C14" t="n">
        <v>110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10</v>
      </c>
      <c r="B15" t="n">
        <v>58851</v>
      </c>
      <c r="C15" t="n">
        <v>140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11</v>
      </c>
      <c r="B16" t="n">
        <v>40044</v>
      </c>
      <c r="C16" t="n">
        <v>160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12</v>
      </c>
      <c r="B17" t="n">
        <v>2704</v>
      </c>
      <c r="C17" t="n">
        <v>300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13</v>
      </c>
      <c r="B18" t="n">
        <v>1</v>
      </c>
      <c r="C18" t="n">
        <v>1000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</v>
      </c>
      <c r="C7" t="n">
        <v>810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1015</v>
      </c>
      <c r="C8" t="n">
        <v>400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5135</v>
      </c>
      <c r="C9" t="n">
        <v>300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30550</v>
      </c>
      <c r="C10" t="n">
        <v>190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95025</v>
      </c>
      <c r="C11" t="n">
        <v>120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154545</v>
      </c>
      <c r="C12" t="n">
        <v>90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213729</v>
      </c>
      <c r="C13" t="n">
        <v>70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213729</v>
      </c>
      <c r="C14" t="n">
        <v>70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154545</v>
      </c>
      <c r="C15" t="n">
        <v>90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95025</v>
      </c>
      <c r="C16" t="n">
        <v>120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30550</v>
      </c>
      <c r="C17" t="n">
        <v>190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5135</v>
      </c>
      <c r="C18" t="n">
        <v>300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1015</v>
      </c>
      <c r="C19" t="n">
        <v>400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1</v>
      </c>
      <c r="C20" t="n">
        <v>810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198</v>
      </c>
      <c r="C7" t="n">
        <v>400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3</v>
      </c>
      <c r="B8" t="n">
        <v>17005</v>
      </c>
      <c r="C8" t="n">
        <v>190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4</v>
      </c>
      <c r="B9" t="n">
        <v>49100</v>
      </c>
      <c r="C9" t="n">
        <v>140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5</v>
      </c>
      <c r="B10" t="n">
        <v>60699</v>
      </c>
      <c r="C10" t="n">
        <v>130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6</v>
      </c>
      <c r="B11" t="n">
        <v>92764</v>
      </c>
      <c r="C11" t="n">
        <v>110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7</v>
      </c>
      <c r="B12" t="n">
        <v>114677</v>
      </c>
      <c r="C12" t="n">
        <v>100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8</v>
      </c>
      <c r="B13" t="n">
        <v>331113</v>
      </c>
      <c r="C13" t="n">
        <v>50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9</v>
      </c>
      <c r="B14" t="n">
        <v>114677</v>
      </c>
      <c r="C14" t="n">
        <v>100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10</v>
      </c>
      <c r="B15" t="n">
        <v>92764</v>
      </c>
      <c r="C15" t="n">
        <v>110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11</v>
      </c>
      <c r="B16" t="n">
        <v>60699</v>
      </c>
      <c r="C16" t="n">
        <v>130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12</v>
      </c>
      <c r="B17" t="n">
        <v>49100</v>
      </c>
      <c r="C17" t="n">
        <v>140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13</v>
      </c>
      <c r="B18" t="n">
        <v>17005</v>
      </c>
      <c r="C18" t="n">
        <v>190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14</v>
      </c>
      <c r="B19" t="n">
        <v>198</v>
      </c>
      <c r="C19" t="n">
        <v>400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15</v>
      </c>
      <c r="B20" t="n">
        <v>1</v>
      </c>
      <c r="C20" t="n">
        <v>710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1713</v>
      </c>
      <c r="C7" t="n">
        <v>300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4</v>
      </c>
      <c r="B8" t="n">
        <v>14313</v>
      </c>
      <c r="C8" t="n">
        <v>200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5</v>
      </c>
      <c r="B9" t="n">
        <v>41381</v>
      </c>
      <c r="C9" t="n">
        <v>150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6</v>
      </c>
      <c r="B10" t="n">
        <v>96751</v>
      </c>
      <c r="C10" t="n">
        <v>110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7</v>
      </c>
      <c r="B11" t="n">
        <v>119637</v>
      </c>
      <c r="C11" t="n">
        <v>100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8</v>
      </c>
      <c r="B12" t="n">
        <v>226205</v>
      </c>
      <c r="C12" t="n">
        <v>70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9</v>
      </c>
      <c r="B13" t="n">
        <v>226205</v>
      </c>
      <c r="C13" t="n">
        <v>70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10</v>
      </c>
      <c r="B14" t="n">
        <v>119637</v>
      </c>
      <c r="C14" t="n">
        <v>100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11</v>
      </c>
      <c r="B15" t="n">
        <v>96751</v>
      </c>
      <c r="C15" t="n">
        <v>110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12</v>
      </c>
      <c r="B16" t="n">
        <v>41381</v>
      </c>
      <c r="C16" t="n">
        <v>150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13</v>
      </c>
      <c r="B17" t="n">
        <v>14313</v>
      </c>
      <c r="C17" t="n">
        <v>200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14</v>
      </c>
      <c r="B18" t="n">
        <v>1712</v>
      </c>
      <c r="C18" t="n">
        <v>300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16</v>
      </c>
      <c r="B19" t="n">
        <v>1</v>
      </c>
      <c r="C19" t="n">
        <v>1500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9764</v>
      </c>
      <c r="C7" t="n">
        <v>200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4</v>
      </c>
      <c r="B8" t="n">
        <v>39864</v>
      </c>
      <c r="C8" t="n">
        <v>140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5</v>
      </c>
      <c r="B9" t="n">
        <v>39864</v>
      </c>
      <c r="C9" t="n">
        <v>140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6</v>
      </c>
      <c r="B10" t="n">
        <v>63712</v>
      </c>
      <c r="C10" t="n">
        <v>120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7</v>
      </c>
      <c r="B11" t="n">
        <v>80547</v>
      </c>
      <c r="C11" t="n">
        <v>110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8</v>
      </c>
      <c r="B12" t="n">
        <v>101829</v>
      </c>
      <c r="C12" t="n">
        <v>100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9</v>
      </c>
      <c r="B13" t="n">
        <v>328840</v>
      </c>
      <c r="C13" t="n">
        <v>50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10</v>
      </c>
      <c r="B14" t="n">
        <v>101829</v>
      </c>
      <c r="C14" t="n">
        <v>100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11</v>
      </c>
      <c r="B15" t="n">
        <v>80546</v>
      </c>
      <c r="C15" t="n">
        <v>110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12</v>
      </c>
      <c r="B16" t="n">
        <v>63712</v>
      </c>
      <c r="C16" t="n">
        <v>120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13</v>
      </c>
      <c r="B17" t="n">
        <v>39864</v>
      </c>
      <c r="C17" t="n">
        <v>140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14</v>
      </c>
      <c r="B18" t="n">
        <v>39864</v>
      </c>
      <c r="C18" t="n">
        <v>140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15</v>
      </c>
      <c r="B19" t="n">
        <v>9764</v>
      </c>
      <c r="C19" t="n">
        <v>200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17</v>
      </c>
      <c r="B20" t="n">
        <v>1</v>
      </c>
      <c r="C20" t="n">
        <v>1600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413</v>
      </c>
      <c r="C7" t="n">
        <v>560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38932</v>
      </c>
      <c r="C8" t="n">
        <v>210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142730</v>
      </c>
      <c r="C9" t="n">
        <v>110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162531</v>
      </c>
      <c r="C10" t="n">
        <v>100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311200</v>
      </c>
      <c r="C11" t="n">
        <v>50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162531</v>
      </c>
      <c r="C12" t="n">
        <v>100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142730</v>
      </c>
      <c r="C13" t="n">
        <v>110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38932</v>
      </c>
      <c r="C14" t="n">
        <v>210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560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47</v>
      </c>
      <c r="C7" t="n">
        <v>560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26763</v>
      </c>
      <c r="C8" t="n">
        <v>200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54101</v>
      </c>
      <c r="C9" t="n">
        <v>160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155495</v>
      </c>
      <c r="C10" t="n">
        <v>100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263617</v>
      </c>
      <c r="C11" t="n">
        <v>70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263617</v>
      </c>
      <c r="C12" t="n">
        <v>70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155495</v>
      </c>
      <c r="C13" t="n">
        <v>100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54101</v>
      </c>
      <c r="C14" t="n">
        <v>160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26763</v>
      </c>
      <c r="C15" t="n">
        <v>200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560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5970</v>
      </c>
      <c r="C7" t="n">
        <v>500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3</v>
      </c>
      <c r="B8" t="n">
        <v>65987</v>
      </c>
      <c r="C8" t="n">
        <v>200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4</v>
      </c>
      <c r="B9" t="n">
        <v>106699</v>
      </c>
      <c r="C9" t="n">
        <v>140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5</v>
      </c>
      <c r="B10" t="n">
        <v>202502</v>
      </c>
      <c r="C10" t="n">
        <v>60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6</v>
      </c>
      <c r="B11" t="n">
        <v>237683</v>
      </c>
      <c r="C11" t="n">
        <v>40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7</v>
      </c>
      <c r="B12" t="n">
        <v>202502</v>
      </c>
      <c r="C12" t="n">
        <v>60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8</v>
      </c>
      <c r="B13" t="n">
        <v>106699</v>
      </c>
      <c r="C13" t="n">
        <v>140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9</v>
      </c>
      <c r="B14" t="n">
        <v>65987</v>
      </c>
      <c r="C14" t="n">
        <v>200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10</v>
      </c>
      <c r="B15" t="n">
        <v>5970</v>
      </c>
      <c r="C15" t="n">
        <v>500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11</v>
      </c>
      <c r="B16" t="n">
        <v>1</v>
      </c>
      <c r="C16" t="n">
        <v>2200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3084</v>
      </c>
      <c r="C7" t="n">
        <v>600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3</v>
      </c>
      <c r="B8" t="n">
        <v>30778</v>
      </c>
      <c r="C8" t="n">
        <v>300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4</v>
      </c>
      <c r="B9" t="n">
        <v>77246</v>
      </c>
      <c r="C9" t="n">
        <v>180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5</v>
      </c>
      <c r="B10" t="n">
        <v>179564</v>
      </c>
      <c r="C10" t="n">
        <v>70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6</v>
      </c>
      <c r="B11" t="n">
        <v>209328</v>
      </c>
      <c r="C11" t="n">
        <v>50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7</v>
      </c>
      <c r="B12" t="n">
        <v>209328</v>
      </c>
      <c r="C12" t="n">
        <v>50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8</v>
      </c>
      <c r="B13" t="n">
        <v>179564</v>
      </c>
      <c r="C13" t="n">
        <v>70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9</v>
      </c>
      <c r="B14" t="n">
        <v>77246</v>
      </c>
      <c r="C14" t="n">
        <v>180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10</v>
      </c>
      <c r="B15" t="n">
        <v>30777</v>
      </c>
      <c r="C15" t="n">
        <v>300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11</v>
      </c>
      <c r="B16" t="n">
        <v>3084</v>
      </c>
      <c r="C16" t="n">
        <v>600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12</v>
      </c>
      <c r="B17" t="n">
        <v>1</v>
      </c>
      <c r="C17" t="n">
        <v>2400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117</v>
      </c>
      <c r="C7" t="n">
        <v>1100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3</v>
      </c>
      <c r="B8" t="n">
        <v>16331</v>
      </c>
      <c r="C8" t="n">
        <v>400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4</v>
      </c>
      <c r="B9" t="n">
        <v>66904</v>
      </c>
      <c r="C9" t="n">
        <v>200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5</v>
      </c>
      <c r="B10" t="n">
        <v>126196</v>
      </c>
      <c r="C10" t="n">
        <v>110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6</v>
      </c>
      <c r="B11" t="n">
        <v>179537</v>
      </c>
      <c r="C11" t="n">
        <v>60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7</v>
      </c>
      <c r="B12" t="n">
        <v>221830</v>
      </c>
      <c r="C12" t="n">
        <v>30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8</v>
      </c>
      <c r="B13" t="n">
        <v>179537</v>
      </c>
      <c r="C13" t="n">
        <v>60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9</v>
      </c>
      <c r="B14" t="n">
        <v>126196</v>
      </c>
      <c r="C14" t="n">
        <v>110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10</v>
      </c>
      <c r="B15" t="n">
        <v>66903</v>
      </c>
      <c r="C15" t="n">
        <v>200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11</v>
      </c>
      <c r="B16" t="n">
        <v>16331</v>
      </c>
      <c r="C16" t="n">
        <v>400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12</v>
      </c>
      <c r="B17" t="n">
        <v>117</v>
      </c>
      <c r="C17" t="n">
        <v>1100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13</v>
      </c>
      <c r="B18" t="n">
        <v>1</v>
      </c>
      <c r="C18" t="n">
        <v>3300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83</v>
      </c>
      <c r="C7" t="n">
        <v>1300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3</v>
      </c>
      <c r="B8" t="n">
        <v>6096</v>
      </c>
      <c r="C8" t="n">
        <v>600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4</v>
      </c>
      <c r="B9" t="n">
        <v>38390</v>
      </c>
      <c r="C9" t="n">
        <v>300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5</v>
      </c>
      <c r="B10" t="n">
        <v>108911</v>
      </c>
      <c r="C10" t="n">
        <v>130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6</v>
      </c>
      <c r="B11" t="n">
        <v>157364</v>
      </c>
      <c r="C11" t="n">
        <v>70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7</v>
      </c>
      <c r="B12" t="n">
        <v>189156</v>
      </c>
      <c r="C12" t="n">
        <v>40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8</v>
      </c>
      <c r="B13" t="n">
        <v>189156</v>
      </c>
      <c r="C13" t="n">
        <v>40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9</v>
      </c>
      <c r="B14" t="n">
        <v>157363</v>
      </c>
      <c r="C14" t="n">
        <v>70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10</v>
      </c>
      <c r="B15" t="n">
        <v>108911</v>
      </c>
      <c r="C15" t="n">
        <v>130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11</v>
      </c>
      <c r="B16" t="n">
        <v>38390</v>
      </c>
      <c r="C16" t="n">
        <v>300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12</v>
      </c>
      <c r="B17" t="n">
        <v>6096</v>
      </c>
      <c r="C17" t="n">
        <v>600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13</v>
      </c>
      <c r="B18" t="n">
        <v>83</v>
      </c>
      <c r="C18" t="n">
        <v>1300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14</v>
      </c>
      <c r="B19" t="n">
        <v>1</v>
      </c>
      <c r="C19" t="n">
        <v>4300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26</v>
      </c>
      <c r="C7" t="n">
        <v>1500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3</v>
      </c>
      <c r="B8" t="n">
        <v>3356</v>
      </c>
      <c r="C8" t="n">
        <v>700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4</v>
      </c>
      <c r="B9" t="n">
        <v>20651</v>
      </c>
      <c r="C9" t="n">
        <v>400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5</v>
      </c>
      <c r="B10" t="n">
        <v>73680</v>
      </c>
      <c r="C10" t="n">
        <v>190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6</v>
      </c>
      <c r="B11" t="n">
        <v>127087</v>
      </c>
      <c r="C11" t="n">
        <v>100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7</v>
      </c>
      <c r="B12" t="n">
        <v>172039</v>
      </c>
      <c r="C12" t="n">
        <v>50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8</v>
      </c>
      <c r="B13" t="n">
        <v>206321</v>
      </c>
      <c r="C13" t="n">
        <v>20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9</v>
      </c>
      <c r="B14" t="n">
        <v>172039</v>
      </c>
      <c r="C14" t="n">
        <v>50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10</v>
      </c>
      <c r="B15" t="n">
        <v>127087</v>
      </c>
      <c r="C15" t="n">
        <v>100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11</v>
      </c>
      <c r="B16" t="n">
        <v>73680</v>
      </c>
      <c r="C16" t="n">
        <v>190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12</v>
      </c>
      <c r="B17" t="n">
        <v>20651</v>
      </c>
      <c r="C17" t="n">
        <v>400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13</v>
      </c>
      <c r="B18" t="n">
        <v>3356</v>
      </c>
      <c r="C18" t="n">
        <v>700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14</v>
      </c>
      <c r="B19" t="n">
        <v>26</v>
      </c>
      <c r="C19" t="n">
        <v>1500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15</v>
      </c>
      <c r="B20" t="n">
        <v>1</v>
      </c>
      <c r="C20" t="n">
        <v>5800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2</v>
      </c>
      <c r="B7" t="n">
        <v>16</v>
      </c>
      <c r="C7" t="n">
        <v>1800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3</v>
      </c>
      <c r="B8" t="n">
        <v>642</v>
      </c>
      <c r="C8" t="n">
        <v>1100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4</v>
      </c>
      <c r="B9" t="n">
        <v>15007</v>
      </c>
      <c r="C9" t="n">
        <v>500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5</v>
      </c>
      <c r="B10" t="n">
        <v>42904</v>
      </c>
      <c r="C10" t="n">
        <v>300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6</v>
      </c>
      <c r="B11" t="n">
        <v>104777</v>
      </c>
      <c r="C11" t="n">
        <v>130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7</v>
      </c>
      <c r="B12" t="n">
        <v>159494</v>
      </c>
      <c r="C12" t="n">
        <v>50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8</v>
      </c>
      <c r="B13" t="n">
        <v>177160</v>
      </c>
      <c r="C13" t="n">
        <v>30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9</v>
      </c>
      <c r="B14" t="n">
        <v>177160</v>
      </c>
      <c r="C14" t="n">
        <v>30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10</v>
      </c>
      <c r="B15" t="n">
        <v>159494</v>
      </c>
      <c r="C15" t="n">
        <v>50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11</v>
      </c>
      <c r="B16" t="n">
        <v>104777</v>
      </c>
      <c r="C16" t="n">
        <v>130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12</v>
      </c>
      <c r="B17" t="n">
        <v>42903</v>
      </c>
      <c r="C17" t="n">
        <v>300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13</v>
      </c>
      <c r="B18" t="n">
        <v>15007</v>
      </c>
      <c r="C18" t="n">
        <v>500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14</v>
      </c>
      <c r="B19" t="n">
        <v>642</v>
      </c>
      <c r="C19" t="n">
        <v>1100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15</v>
      </c>
      <c r="B20" t="n">
        <v>16</v>
      </c>
      <c r="C20" t="n">
        <v>1800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16</v>
      </c>
      <c r="B21" t="n">
        <v>1</v>
      </c>
      <c r="C21" t="n">
        <v>8800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3</v>
      </c>
      <c r="B7" t="n">
        <v>221</v>
      </c>
      <c r="C7" t="n">
        <v>1000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4</v>
      </c>
      <c r="B8" t="n">
        <v>7225</v>
      </c>
      <c r="C8" t="n">
        <v>500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5</v>
      </c>
      <c r="B9" t="n">
        <v>29158</v>
      </c>
      <c r="C9" t="n">
        <v>300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6</v>
      </c>
      <c r="B10" t="n">
        <v>83027</v>
      </c>
      <c r="C10" t="n">
        <v>150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7</v>
      </c>
      <c r="B11" t="n">
        <v>117682</v>
      </c>
      <c r="C11" t="n">
        <v>100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8</v>
      </c>
      <c r="B12" t="n">
        <v>166800</v>
      </c>
      <c r="C12" t="n">
        <v>50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9</v>
      </c>
      <c r="B13" t="n">
        <v>191774</v>
      </c>
      <c r="C13" t="n">
        <v>30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10</v>
      </c>
      <c r="B14" t="n">
        <v>166799</v>
      </c>
      <c r="C14" t="n">
        <v>50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11</v>
      </c>
      <c r="B15" t="n">
        <v>117682</v>
      </c>
      <c r="C15" t="n">
        <v>100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12</v>
      </c>
      <c r="B16" t="n">
        <v>83027</v>
      </c>
      <c r="C16" t="n">
        <v>150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13</v>
      </c>
      <c r="B17" t="n">
        <v>29158</v>
      </c>
      <c r="C17" t="n">
        <v>300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14</v>
      </c>
      <c r="B18" t="n">
        <v>7225</v>
      </c>
      <c r="C18" t="n">
        <v>500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15</v>
      </c>
      <c r="B19" t="n">
        <v>221</v>
      </c>
      <c r="C19" t="n">
        <v>1000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17</v>
      </c>
      <c r="B20" t="n">
        <v>1</v>
      </c>
      <c r="C20" t="n">
        <v>11000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28</v>
      </c>
      <c r="C7" t="n">
        <v>1300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38629</v>
      </c>
      <c r="C8" t="n">
        <v>300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131823</v>
      </c>
      <c r="C9" t="n">
        <v>130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203299</v>
      </c>
      <c r="C10" t="n">
        <v>70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252469</v>
      </c>
      <c r="C11" t="n">
        <v>40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203299</v>
      </c>
      <c r="C12" t="n">
        <v>70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131823</v>
      </c>
      <c r="C13" t="n">
        <v>130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38629</v>
      </c>
      <c r="C14" t="n">
        <v>300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1300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</v>
      </c>
      <c r="C7" t="n">
        <v>1800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15625</v>
      </c>
      <c r="C8" t="n">
        <v>400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90620</v>
      </c>
      <c r="C9" t="n">
        <v>170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167016</v>
      </c>
      <c r="C10" t="n">
        <v>90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226738</v>
      </c>
      <c r="C11" t="n">
        <v>50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226738</v>
      </c>
      <c r="C12" t="n">
        <v>50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167016</v>
      </c>
      <c r="C13" t="n">
        <v>90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90620</v>
      </c>
      <c r="C14" t="n">
        <v>170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15625</v>
      </c>
      <c r="C15" t="n">
        <v>400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1800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0" customWidth="1" min="4" max="4"/>
    <col width="16" customWidth="1" min="5" max="5"/>
    <col width="24" customWidth="1" min="6" max="6"/>
    <col width="14" customWidth="1" min="7" max="7"/>
    <col width="14" customWidth="1" min="8" max="8"/>
  </cols>
  <sheetData>
    <row r="1">
      <c r="A1" s="1" t="inlineStr">
        <is>
          <t>Test Vector List</t>
        </is>
      </c>
    </row>
    <row r="2">
      <c r="A2" s="2" t="inlineStr">
        <is>
          <t>Deterministic draw points and expected outcomes from lookup tables</t>
        </is>
      </c>
    </row>
    <row r="4">
      <c r="A4" s="3" t="inlineStr">
        <is>
          <t>Vectors</t>
        </is>
      </c>
    </row>
    <row r="5">
      <c r="A5" s="6" t="inlineStr">
        <is>
          <t>Mode</t>
        </is>
      </c>
      <c r="B5" s="6" t="inlineStr">
        <is>
          <t>Vector</t>
        </is>
      </c>
      <c r="C5" s="6" t="inlineStr">
        <is>
          <t>Draw</t>
        </is>
      </c>
      <c r="D5" s="6" t="inlineStr">
        <is>
          <t>Expected Outcome ID</t>
        </is>
      </c>
      <c r="E5" s="6" t="inlineStr">
        <is>
          <t>Expected Payout</t>
        </is>
      </c>
      <c r="F5" s="6" t="inlineStr">
        <is>
          <t>Expected Payout Normalized</t>
        </is>
      </c>
      <c r="G5" s="6" t="inlineStr">
        <is>
          <t>Interval Start</t>
        </is>
      </c>
      <c r="H5" s="6" t="inlineStr">
        <is>
          <t>Interval End</t>
        </is>
      </c>
    </row>
    <row r="6">
      <c r="A6" t="inlineStr">
        <is>
          <t>buy100_expert_10</t>
        </is>
      </c>
      <c r="B6" t="n">
        <v>1</v>
      </c>
      <c r="C6" t="n">
        <v>0</v>
      </c>
      <c r="D6" t="n">
        <v>3</v>
      </c>
      <c r="E6" t="n">
        <v>1980</v>
      </c>
      <c r="F6" t="n">
        <v>20</v>
      </c>
      <c r="G6" t="n">
        <v>0</v>
      </c>
      <c r="H6" t="n">
        <v>16917</v>
      </c>
    </row>
    <row r="7">
      <c r="A7" t="inlineStr">
        <is>
          <t>buy100_expert_10</t>
        </is>
      </c>
      <c r="B7" t="n">
        <v>2</v>
      </c>
      <c r="C7" t="n">
        <v>250000</v>
      </c>
      <c r="D7" t="n">
        <v>5</v>
      </c>
      <c r="E7" t="n">
        <v>9.9</v>
      </c>
      <c r="F7" t="n">
        <v>0.1</v>
      </c>
      <c r="G7" t="n">
        <v>203031</v>
      </c>
      <c r="H7" t="n">
        <v>401009</v>
      </c>
    </row>
    <row r="8">
      <c r="A8" t="inlineStr">
        <is>
          <t>buy100_expert_10</t>
        </is>
      </c>
      <c r="B8" t="n">
        <v>3</v>
      </c>
      <c r="C8" t="n">
        <v>500000</v>
      </c>
      <c r="D8" t="n">
        <v>6</v>
      </c>
      <c r="E8" t="n">
        <v>9.9</v>
      </c>
      <c r="F8" t="n">
        <v>0.1</v>
      </c>
      <c r="G8" t="n">
        <v>401010</v>
      </c>
      <c r="H8" t="n">
        <v>598988</v>
      </c>
    </row>
    <row r="9">
      <c r="A9" t="inlineStr">
        <is>
          <t>buy100_expert_10</t>
        </is>
      </c>
      <c r="B9" t="n">
        <v>4</v>
      </c>
      <c r="C9" t="n">
        <v>750000</v>
      </c>
      <c r="D9" t="n">
        <v>7</v>
      </c>
      <c r="E9" t="n">
        <v>9.9</v>
      </c>
      <c r="F9" t="n">
        <v>0.1</v>
      </c>
      <c r="G9" t="n">
        <v>598989</v>
      </c>
      <c r="H9" t="n">
        <v>796967</v>
      </c>
    </row>
    <row r="10">
      <c r="A10" t="inlineStr">
        <is>
          <t>buy100_expert_10</t>
        </is>
      </c>
      <c r="B10" t="n">
        <v>5</v>
      </c>
      <c r="C10" t="n">
        <v>999999</v>
      </c>
      <c r="D10" t="n">
        <v>11</v>
      </c>
      <c r="E10" t="n">
        <v>100000</v>
      </c>
      <c r="F10" t="n">
        <v>1010.10101010101</v>
      </c>
      <c r="G10" t="n">
        <v>999999</v>
      </c>
      <c r="H10" t="n">
        <v>999999</v>
      </c>
    </row>
    <row r="11">
      <c r="A11" t="inlineStr">
        <is>
          <t>buy100_expert_11</t>
        </is>
      </c>
      <c r="B11" t="n">
        <v>6</v>
      </c>
      <c r="C11" t="n">
        <v>0</v>
      </c>
      <c r="D11" t="n">
        <v>3</v>
      </c>
      <c r="E11" t="n">
        <v>3960</v>
      </c>
      <c r="F11" t="n">
        <v>40</v>
      </c>
      <c r="G11" t="n">
        <v>0</v>
      </c>
      <c r="H11" t="n">
        <v>6435</v>
      </c>
    </row>
    <row r="12">
      <c r="A12" t="inlineStr">
        <is>
          <t>buy100_expert_11</t>
        </is>
      </c>
      <c r="B12" t="n">
        <v>7</v>
      </c>
      <c r="C12" t="n">
        <v>250000</v>
      </c>
      <c r="D12" t="n">
        <v>5</v>
      </c>
      <c r="E12" t="n">
        <v>19.8</v>
      </c>
      <c r="F12" t="n">
        <v>0.2</v>
      </c>
      <c r="G12" t="n">
        <v>162529</v>
      </c>
      <c r="H12" t="n">
        <v>330572</v>
      </c>
    </row>
    <row r="13">
      <c r="A13" t="inlineStr">
        <is>
          <t>buy100_expert_11</t>
        </is>
      </c>
      <c r="B13" t="n">
        <v>8</v>
      </c>
      <c r="C13" t="n">
        <v>500000</v>
      </c>
      <c r="D13" t="n">
        <v>7</v>
      </c>
      <c r="E13" t="n">
        <v>9.9</v>
      </c>
      <c r="F13" t="n">
        <v>0.1</v>
      </c>
      <c r="G13" t="n">
        <v>500000</v>
      </c>
      <c r="H13" t="n">
        <v>669426</v>
      </c>
    </row>
    <row r="14">
      <c r="A14" t="inlineStr">
        <is>
          <t>buy100_expert_11</t>
        </is>
      </c>
      <c r="B14" t="n">
        <v>9</v>
      </c>
      <c r="C14" t="n">
        <v>750000</v>
      </c>
      <c r="D14" t="n">
        <v>8</v>
      </c>
      <c r="E14" t="n">
        <v>19.8</v>
      </c>
      <c r="F14" t="n">
        <v>0.2</v>
      </c>
      <c r="G14" t="n">
        <v>669427</v>
      </c>
      <c r="H14" t="n">
        <v>837469</v>
      </c>
    </row>
    <row r="15">
      <c r="A15" t="inlineStr">
        <is>
          <t>buy100_expert_11</t>
        </is>
      </c>
      <c r="B15" t="n">
        <v>10</v>
      </c>
      <c r="C15" t="n">
        <v>999999</v>
      </c>
      <c r="D15" t="n">
        <v>12</v>
      </c>
      <c r="E15" t="n">
        <v>100000</v>
      </c>
      <c r="F15" t="n">
        <v>1010.10101010101</v>
      </c>
      <c r="G15" t="n">
        <v>999999</v>
      </c>
      <c r="H15" t="n">
        <v>999999</v>
      </c>
    </row>
    <row r="16">
      <c r="A16" t="inlineStr">
        <is>
          <t>buy100_expert_12</t>
        </is>
      </c>
      <c r="B16" t="n">
        <v>11</v>
      </c>
      <c r="C16" t="n">
        <v>0</v>
      </c>
      <c r="D16" t="n">
        <v>3</v>
      </c>
      <c r="E16" t="n">
        <v>5940</v>
      </c>
      <c r="F16" t="n">
        <v>60</v>
      </c>
      <c r="G16" t="n">
        <v>0</v>
      </c>
      <c r="H16" t="n">
        <v>3326</v>
      </c>
    </row>
    <row r="17">
      <c r="A17" t="inlineStr">
        <is>
          <t>buy100_expert_12</t>
        </is>
      </c>
      <c r="B17" t="n">
        <v>12</v>
      </c>
      <c r="C17" t="n">
        <v>250000</v>
      </c>
      <c r="D17" t="n">
        <v>5</v>
      </c>
      <c r="E17" t="n">
        <v>39.6</v>
      </c>
      <c r="F17" t="n">
        <v>0.4</v>
      </c>
      <c r="G17" t="n">
        <v>137179</v>
      </c>
      <c r="H17" t="n">
        <v>280660</v>
      </c>
    </row>
    <row r="18">
      <c r="A18" t="inlineStr">
        <is>
          <t>buy100_expert_12</t>
        </is>
      </c>
      <c r="B18" t="n">
        <v>13</v>
      </c>
      <c r="C18" t="n">
        <v>500000</v>
      </c>
      <c r="D18" t="n">
        <v>7</v>
      </c>
      <c r="E18" t="n">
        <v>9.9</v>
      </c>
      <c r="F18" t="n">
        <v>0.1</v>
      </c>
      <c r="G18" t="n">
        <v>426887</v>
      </c>
      <c r="H18" t="n">
        <v>573112</v>
      </c>
    </row>
    <row r="19">
      <c r="A19" t="inlineStr">
        <is>
          <t>buy100_expert_12</t>
        </is>
      </c>
      <c r="B19" t="n">
        <v>14</v>
      </c>
      <c r="C19" t="n">
        <v>750000</v>
      </c>
      <c r="D19" t="n">
        <v>9</v>
      </c>
      <c r="E19" t="n">
        <v>39.6</v>
      </c>
      <c r="F19" t="n">
        <v>0.4</v>
      </c>
      <c r="G19" t="n">
        <v>719339</v>
      </c>
      <c r="H19" t="n">
        <v>862819</v>
      </c>
    </row>
    <row r="20">
      <c r="A20" t="inlineStr">
        <is>
          <t>buy100_expert_12</t>
        </is>
      </c>
      <c r="B20" t="n">
        <v>15</v>
      </c>
      <c r="C20" t="n">
        <v>999999</v>
      </c>
      <c r="D20" t="n">
        <v>13</v>
      </c>
      <c r="E20" t="n">
        <v>100000</v>
      </c>
      <c r="F20" t="n">
        <v>1010.10101010101</v>
      </c>
      <c r="G20" t="n">
        <v>999999</v>
      </c>
      <c r="H20" t="n">
        <v>999999</v>
      </c>
    </row>
    <row r="21">
      <c r="A21" t="inlineStr">
        <is>
          <t>buy100_expert_13</t>
        </is>
      </c>
      <c r="B21" t="n">
        <v>16</v>
      </c>
      <c r="C21" t="n">
        <v>0</v>
      </c>
      <c r="D21" t="n">
        <v>3</v>
      </c>
      <c r="E21" t="n">
        <v>9900</v>
      </c>
      <c r="F21" t="n">
        <v>100</v>
      </c>
      <c r="G21" t="n">
        <v>0</v>
      </c>
      <c r="H21" t="n">
        <v>446</v>
      </c>
    </row>
    <row r="22">
      <c r="A22" t="inlineStr">
        <is>
          <t>buy100_expert_13</t>
        </is>
      </c>
      <c r="B22" t="n">
        <v>17</v>
      </c>
      <c r="C22" t="n">
        <v>250000</v>
      </c>
      <c r="D22" t="n">
        <v>6</v>
      </c>
      <c r="E22" t="n">
        <v>9.9</v>
      </c>
      <c r="F22" t="n">
        <v>0.1</v>
      </c>
      <c r="G22" t="n">
        <v>238452</v>
      </c>
      <c r="H22" t="n">
        <v>369225</v>
      </c>
    </row>
    <row r="23">
      <c r="A23" t="inlineStr">
        <is>
          <t>buy100_expert_13</t>
        </is>
      </c>
      <c r="B23" t="n">
        <v>18</v>
      </c>
      <c r="C23" t="n">
        <v>500000</v>
      </c>
      <c r="D23" t="n">
        <v>8</v>
      </c>
      <c r="E23" t="n">
        <v>9.9</v>
      </c>
      <c r="F23" t="n">
        <v>0.1</v>
      </c>
      <c r="G23" t="n">
        <v>500000</v>
      </c>
      <c r="H23" t="n">
        <v>630773</v>
      </c>
    </row>
    <row r="24">
      <c r="A24" t="inlineStr">
        <is>
          <t>buy100_expert_13</t>
        </is>
      </c>
      <c r="B24" t="n">
        <v>19</v>
      </c>
      <c r="C24" t="n">
        <v>750000</v>
      </c>
      <c r="D24" t="n">
        <v>9</v>
      </c>
      <c r="E24" t="n">
        <v>9.9</v>
      </c>
      <c r="F24" t="n">
        <v>0.1</v>
      </c>
      <c r="G24" t="n">
        <v>630774</v>
      </c>
      <c r="H24" t="n">
        <v>761547</v>
      </c>
    </row>
    <row r="25">
      <c r="A25" t="inlineStr">
        <is>
          <t>buy100_expert_13</t>
        </is>
      </c>
      <c r="B25" t="n">
        <v>20</v>
      </c>
      <c r="C25" t="n">
        <v>999999</v>
      </c>
      <c r="D25" t="n">
        <v>14</v>
      </c>
      <c r="E25" t="n">
        <v>100000</v>
      </c>
      <c r="F25" t="n">
        <v>1010.10101010101</v>
      </c>
      <c r="G25" t="n">
        <v>999999</v>
      </c>
      <c r="H25" t="n">
        <v>999999</v>
      </c>
    </row>
    <row r="26">
      <c r="A26" t="inlineStr">
        <is>
          <t>buy100_expert_14</t>
        </is>
      </c>
      <c r="B26" t="n">
        <v>21</v>
      </c>
      <c r="C26" t="n">
        <v>0</v>
      </c>
      <c r="D26" t="n">
        <v>3</v>
      </c>
      <c r="E26" t="n">
        <v>15840</v>
      </c>
      <c r="F26" t="n">
        <v>160</v>
      </c>
      <c r="G26" t="n">
        <v>0</v>
      </c>
      <c r="H26" t="n">
        <v>38</v>
      </c>
    </row>
    <row r="27">
      <c r="A27" t="inlineStr">
        <is>
          <t>buy100_expert_14</t>
        </is>
      </c>
      <c r="B27" t="n">
        <v>22</v>
      </c>
      <c r="C27" t="n">
        <v>250000</v>
      </c>
      <c r="D27" t="n">
        <v>6</v>
      </c>
      <c r="E27" t="n">
        <v>19.8</v>
      </c>
      <c r="F27" t="n">
        <v>0.2</v>
      </c>
      <c r="G27" t="n">
        <v>210320</v>
      </c>
      <c r="H27" t="n">
        <v>325843</v>
      </c>
    </row>
    <row r="28">
      <c r="A28" t="inlineStr">
        <is>
          <t>buy100_expert_14</t>
        </is>
      </c>
      <c r="B28" t="n">
        <v>23</v>
      </c>
      <c r="C28" t="n">
        <v>500000</v>
      </c>
      <c r="D28" t="n">
        <v>8</v>
      </c>
      <c r="E28" t="n">
        <v>9.9</v>
      </c>
      <c r="F28" t="n">
        <v>0.1</v>
      </c>
      <c r="G28" t="n">
        <v>441948</v>
      </c>
      <c r="H28" t="n">
        <v>558051</v>
      </c>
    </row>
    <row r="29">
      <c r="A29" t="inlineStr">
        <is>
          <t>buy100_expert_14</t>
        </is>
      </c>
      <c r="B29" t="n">
        <v>24</v>
      </c>
      <c r="C29" t="n">
        <v>750000</v>
      </c>
      <c r="D29" t="n">
        <v>10</v>
      </c>
      <c r="E29" t="n">
        <v>19.8</v>
      </c>
      <c r="F29" t="n">
        <v>0.2</v>
      </c>
      <c r="G29" t="n">
        <v>674156</v>
      </c>
      <c r="H29" t="n">
        <v>789679</v>
      </c>
    </row>
    <row r="30">
      <c r="A30" t="inlineStr">
        <is>
          <t>buy100_expert_14</t>
        </is>
      </c>
      <c r="B30" t="n">
        <v>25</v>
      </c>
      <c r="C30" t="n">
        <v>999999</v>
      </c>
      <c r="D30" t="n">
        <v>15</v>
      </c>
      <c r="E30" t="n">
        <v>100000</v>
      </c>
      <c r="F30" t="n">
        <v>1010.10101010101</v>
      </c>
      <c r="G30" t="n">
        <v>999999</v>
      </c>
      <c r="H30" t="n">
        <v>999999</v>
      </c>
    </row>
    <row r="31">
      <c r="A31" t="inlineStr">
        <is>
          <t>buy100_expert_15</t>
        </is>
      </c>
      <c r="B31" t="n">
        <v>26</v>
      </c>
      <c r="C31" t="n">
        <v>0</v>
      </c>
      <c r="D31" t="n">
        <v>4</v>
      </c>
      <c r="E31" t="n">
        <v>594</v>
      </c>
      <c r="F31" t="n">
        <v>6</v>
      </c>
      <c r="G31" t="n">
        <v>0</v>
      </c>
      <c r="H31" t="n">
        <v>44500</v>
      </c>
    </row>
    <row r="32">
      <c r="A32" t="inlineStr">
        <is>
          <t>buy100_expert_15</t>
        </is>
      </c>
      <c r="B32" t="n">
        <v>27</v>
      </c>
      <c r="C32" t="n">
        <v>250000</v>
      </c>
      <c r="D32" t="n">
        <v>6</v>
      </c>
      <c r="E32" t="n">
        <v>19.8</v>
      </c>
      <c r="F32" t="n">
        <v>0.2</v>
      </c>
      <c r="G32" t="n">
        <v>135786</v>
      </c>
      <c r="H32" t="n">
        <v>255809</v>
      </c>
    </row>
    <row r="33">
      <c r="A33" t="inlineStr">
        <is>
          <t>buy100_expert_15</t>
        </is>
      </c>
      <c r="B33" t="n">
        <v>28</v>
      </c>
      <c r="C33" t="n">
        <v>500000</v>
      </c>
      <c r="D33" t="n">
        <v>9</v>
      </c>
      <c r="E33" t="n">
        <v>9.9</v>
      </c>
      <c r="F33" t="n">
        <v>0.1</v>
      </c>
      <c r="G33" t="n">
        <v>500000</v>
      </c>
      <c r="H33" t="n">
        <v>622094</v>
      </c>
    </row>
    <row r="34">
      <c r="A34" t="inlineStr">
        <is>
          <t>buy100_expert_15</t>
        </is>
      </c>
      <c r="B34" t="n">
        <v>29</v>
      </c>
      <c r="C34" t="n">
        <v>750000</v>
      </c>
      <c r="D34" t="n">
        <v>11</v>
      </c>
      <c r="E34" t="n">
        <v>19.8</v>
      </c>
      <c r="F34" t="n">
        <v>0.2</v>
      </c>
      <c r="G34" t="n">
        <v>744189</v>
      </c>
      <c r="H34" t="n">
        <v>864212</v>
      </c>
    </row>
    <row r="35">
      <c r="A35" t="inlineStr">
        <is>
          <t>buy100_expert_15</t>
        </is>
      </c>
      <c r="B35" t="n">
        <v>30</v>
      </c>
      <c r="C35" t="n">
        <v>999999</v>
      </c>
      <c r="D35" t="n">
        <v>16</v>
      </c>
      <c r="E35" t="n">
        <v>100000</v>
      </c>
      <c r="F35" t="n">
        <v>1010.10101010101</v>
      </c>
      <c r="G35" t="n">
        <v>999999</v>
      </c>
      <c r="H35" t="n">
        <v>999999</v>
      </c>
    </row>
    <row r="36">
      <c r="A36" t="inlineStr">
        <is>
          <t>buy100_expert_16</t>
        </is>
      </c>
      <c r="B36" t="n">
        <v>31</v>
      </c>
      <c r="C36" t="n">
        <v>0</v>
      </c>
      <c r="D36" t="n">
        <v>4</v>
      </c>
      <c r="E36" t="n">
        <v>693</v>
      </c>
      <c r="F36" t="n">
        <v>7</v>
      </c>
      <c r="G36" t="n">
        <v>0</v>
      </c>
      <c r="H36" t="n">
        <v>23896</v>
      </c>
    </row>
    <row r="37">
      <c r="A37" t="inlineStr">
        <is>
          <t>buy100_expert_16</t>
        </is>
      </c>
      <c r="B37" t="n">
        <v>32</v>
      </c>
      <c r="C37" t="n">
        <v>250000</v>
      </c>
      <c r="D37" t="n">
        <v>7</v>
      </c>
      <c r="E37" t="n">
        <v>9.9</v>
      </c>
      <c r="F37" t="n">
        <v>0.1</v>
      </c>
      <c r="G37" t="n">
        <v>191065</v>
      </c>
      <c r="H37" t="n">
        <v>314638</v>
      </c>
    </row>
    <row r="38">
      <c r="A38" t="inlineStr">
        <is>
          <t>buy100_expert_16</t>
        </is>
      </c>
      <c r="B38" t="n">
        <v>33</v>
      </c>
      <c r="C38" t="n">
        <v>500000</v>
      </c>
      <c r="D38" t="n">
        <v>9</v>
      </c>
      <c r="E38" t="n">
        <v>9.9</v>
      </c>
      <c r="F38" t="n">
        <v>0.1</v>
      </c>
      <c r="G38" t="n">
        <v>438213</v>
      </c>
      <c r="H38" t="n">
        <v>561786</v>
      </c>
    </row>
    <row r="39">
      <c r="A39" t="inlineStr">
        <is>
          <t>buy100_expert_16</t>
        </is>
      </c>
      <c r="B39" t="n">
        <v>34</v>
      </c>
      <c r="C39" t="n">
        <v>750000</v>
      </c>
      <c r="D39" t="n">
        <v>11</v>
      </c>
      <c r="E39" t="n">
        <v>9.9</v>
      </c>
      <c r="F39" t="n">
        <v>0.1</v>
      </c>
      <c r="G39" t="n">
        <v>685361</v>
      </c>
      <c r="H39" t="n">
        <v>808934</v>
      </c>
    </row>
    <row r="40">
      <c r="A40" t="inlineStr">
        <is>
          <t>buy100_expert_16</t>
        </is>
      </c>
      <c r="B40" t="n">
        <v>35</v>
      </c>
      <c r="C40" t="n">
        <v>999999</v>
      </c>
      <c r="D40" t="n">
        <v>17</v>
      </c>
      <c r="E40" t="n">
        <v>100000</v>
      </c>
      <c r="F40" t="n">
        <v>1010.10101010101</v>
      </c>
      <c r="G40" t="n">
        <v>999999</v>
      </c>
      <c r="H40" t="n">
        <v>999999</v>
      </c>
    </row>
    <row r="41">
      <c r="A41" t="inlineStr">
        <is>
          <t>buy100_expert_8</t>
        </is>
      </c>
      <c r="B41" t="n">
        <v>36</v>
      </c>
      <c r="C41" t="n">
        <v>0</v>
      </c>
      <c r="D41" t="n">
        <v>2</v>
      </c>
      <c r="E41" t="n">
        <v>4554</v>
      </c>
      <c r="F41" t="n">
        <v>46</v>
      </c>
      <c r="G41" t="n">
        <v>0</v>
      </c>
      <c r="H41" t="n">
        <v>52</v>
      </c>
    </row>
    <row r="42">
      <c r="A42" t="inlineStr">
        <is>
          <t>buy100_expert_8</t>
        </is>
      </c>
      <c r="B42" t="n">
        <v>37</v>
      </c>
      <c r="C42" t="n">
        <v>250000</v>
      </c>
      <c r="D42" t="n">
        <v>4</v>
      </c>
      <c r="E42" t="n">
        <v>9.9</v>
      </c>
      <c r="F42" t="n">
        <v>0.1</v>
      </c>
      <c r="G42" t="n">
        <v>39280</v>
      </c>
      <c r="H42" t="n">
        <v>346426</v>
      </c>
    </row>
    <row r="43">
      <c r="A43" t="inlineStr">
        <is>
          <t>buy100_expert_8</t>
        </is>
      </c>
      <c r="B43" t="n">
        <v>38</v>
      </c>
      <c r="C43" t="n">
        <v>500000</v>
      </c>
      <c r="D43" t="n">
        <v>5</v>
      </c>
      <c r="E43" t="n">
        <v>9.9</v>
      </c>
      <c r="F43" t="n">
        <v>0.1</v>
      </c>
      <c r="G43" t="n">
        <v>346427</v>
      </c>
      <c r="H43" t="n">
        <v>653572</v>
      </c>
    </row>
    <row r="44">
      <c r="A44" t="inlineStr">
        <is>
          <t>buy100_expert_8</t>
        </is>
      </c>
      <c r="B44" t="n">
        <v>39</v>
      </c>
      <c r="C44" t="n">
        <v>750000</v>
      </c>
      <c r="D44" t="n">
        <v>6</v>
      </c>
      <c r="E44" t="n">
        <v>9.9</v>
      </c>
      <c r="F44" t="n">
        <v>0.1</v>
      </c>
      <c r="G44" t="n">
        <v>653573</v>
      </c>
      <c r="H44" t="n">
        <v>960718</v>
      </c>
    </row>
    <row r="45">
      <c r="A45" t="inlineStr">
        <is>
          <t>buy100_expert_8</t>
        </is>
      </c>
      <c r="B45" t="n">
        <v>40</v>
      </c>
      <c r="C45" t="n">
        <v>999999</v>
      </c>
      <c r="D45" t="n">
        <v>9</v>
      </c>
      <c r="E45" t="n">
        <v>49500</v>
      </c>
      <c r="F45" t="n">
        <v>500</v>
      </c>
      <c r="G45" t="n">
        <v>999999</v>
      </c>
      <c r="H45" t="n">
        <v>999999</v>
      </c>
    </row>
    <row r="46">
      <c r="A46" t="inlineStr">
        <is>
          <t>buy100_expert_9</t>
        </is>
      </c>
      <c r="B46" t="n">
        <v>41</v>
      </c>
      <c r="C46" t="n">
        <v>0</v>
      </c>
      <c r="D46" t="n">
        <v>2</v>
      </c>
      <c r="E46" t="n">
        <v>7722</v>
      </c>
      <c r="F46" t="n">
        <v>78</v>
      </c>
      <c r="G46" t="n">
        <v>0</v>
      </c>
      <c r="H46" t="n">
        <v>2</v>
      </c>
    </row>
    <row r="47">
      <c r="A47" t="inlineStr">
        <is>
          <t>buy100_expert_9</t>
        </is>
      </c>
      <c r="B47" t="n">
        <v>42</v>
      </c>
      <c r="C47" t="n">
        <v>250000</v>
      </c>
      <c r="D47" t="n">
        <v>4</v>
      </c>
      <c r="E47" t="n">
        <v>19.8</v>
      </c>
      <c r="F47" t="n">
        <v>0.2</v>
      </c>
      <c r="G47" t="n">
        <v>27256</v>
      </c>
      <c r="H47" t="n">
        <v>261908</v>
      </c>
    </row>
    <row r="48">
      <c r="A48" t="inlineStr">
        <is>
          <t>buy100_expert_9</t>
        </is>
      </c>
      <c r="B48" t="n">
        <v>43</v>
      </c>
      <c r="C48" t="n">
        <v>500000</v>
      </c>
      <c r="D48" t="n">
        <v>6</v>
      </c>
      <c r="E48" t="n">
        <v>9.9</v>
      </c>
      <c r="F48" t="n">
        <v>0.1</v>
      </c>
      <c r="G48" t="n">
        <v>500000</v>
      </c>
      <c r="H48" t="n">
        <v>738090</v>
      </c>
    </row>
    <row r="49">
      <c r="A49" t="inlineStr">
        <is>
          <t>buy100_expert_9</t>
        </is>
      </c>
      <c r="B49" t="n">
        <v>44</v>
      </c>
      <c r="C49" t="n">
        <v>750000</v>
      </c>
      <c r="D49" t="n">
        <v>7</v>
      </c>
      <c r="E49" t="n">
        <v>19.8</v>
      </c>
      <c r="F49" t="n">
        <v>0.2</v>
      </c>
      <c r="G49" t="n">
        <v>738091</v>
      </c>
      <c r="H49" t="n">
        <v>972743</v>
      </c>
    </row>
    <row r="50">
      <c r="A50" t="inlineStr">
        <is>
          <t>buy100_expert_9</t>
        </is>
      </c>
      <c r="B50" t="n">
        <v>45</v>
      </c>
      <c r="C50" t="n">
        <v>999999</v>
      </c>
      <c r="D50" t="n">
        <v>10</v>
      </c>
      <c r="E50" t="n">
        <v>99000</v>
      </c>
      <c r="F50" t="n">
        <v>1000</v>
      </c>
      <c r="G50" t="n">
        <v>999999</v>
      </c>
      <c r="H50" t="n">
        <v>999999</v>
      </c>
    </row>
    <row r="51">
      <c r="A51" t="inlineStr">
        <is>
          <t>buy100_high_10</t>
        </is>
      </c>
      <c r="B51" t="n">
        <v>46</v>
      </c>
      <c r="C51" t="n">
        <v>0</v>
      </c>
      <c r="D51" t="n">
        <v>2</v>
      </c>
      <c r="E51" t="n">
        <v>990</v>
      </c>
      <c r="F51" t="n">
        <v>10</v>
      </c>
      <c r="G51" t="n">
        <v>0</v>
      </c>
      <c r="H51" t="n">
        <v>6174</v>
      </c>
    </row>
    <row r="52">
      <c r="A52" t="inlineStr">
        <is>
          <t>buy100_high_10</t>
        </is>
      </c>
      <c r="B52" t="n">
        <v>47</v>
      </c>
      <c r="C52" t="n">
        <v>250000</v>
      </c>
      <c r="D52" t="n">
        <v>5</v>
      </c>
      <c r="E52" t="n">
        <v>29.7</v>
      </c>
      <c r="F52" t="n">
        <v>0.3</v>
      </c>
      <c r="G52" t="n">
        <v>224366</v>
      </c>
      <c r="H52" t="n">
        <v>405973</v>
      </c>
    </row>
    <row r="53">
      <c r="A53" t="inlineStr">
        <is>
          <t>buy100_high_10</t>
        </is>
      </c>
      <c r="B53" t="n">
        <v>48</v>
      </c>
      <c r="C53" t="n">
        <v>500000</v>
      </c>
      <c r="D53" t="n">
        <v>6</v>
      </c>
      <c r="E53" t="n">
        <v>19.8</v>
      </c>
      <c r="F53" t="n">
        <v>0.2</v>
      </c>
      <c r="G53" t="n">
        <v>405974</v>
      </c>
      <c r="H53" t="n">
        <v>594024</v>
      </c>
    </row>
    <row r="54">
      <c r="A54" t="inlineStr">
        <is>
          <t>buy100_high_10</t>
        </is>
      </c>
      <c r="B54" t="n">
        <v>49</v>
      </c>
      <c r="C54" t="n">
        <v>750000</v>
      </c>
      <c r="D54" t="n">
        <v>7</v>
      </c>
      <c r="E54" t="n">
        <v>29.7</v>
      </c>
      <c r="F54" t="n">
        <v>0.3</v>
      </c>
      <c r="G54" t="n">
        <v>594025</v>
      </c>
      <c r="H54" t="n">
        <v>775632</v>
      </c>
    </row>
    <row r="55">
      <c r="A55" t="inlineStr">
        <is>
          <t>buy100_high_10</t>
        </is>
      </c>
      <c r="B55" t="n">
        <v>50</v>
      </c>
      <c r="C55" t="n">
        <v>999999</v>
      </c>
      <c r="D55" t="n">
        <v>11</v>
      </c>
      <c r="E55" t="n">
        <v>7524</v>
      </c>
      <c r="F55" t="n">
        <v>76</v>
      </c>
      <c r="G55" t="n">
        <v>999999</v>
      </c>
      <c r="H55" t="n">
        <v>999999</v>
      </c>
    </row>
    <row r="56">
      <c r="A56" t="inlineStr">
        <is>
          <t>buy100_high_11</t>
        </is>
      </c>
      <c r="B56" t="n">
        <v>51</v>
      </c>
      <c r="C56" t="n">
        <v>0</v>
      </c>
      <c r="D56" t="n">
        <v>2</v>
      </c>
      <c r="E56" t="n">
        <v>1386</v>
      </c>
      <c r="F56" t="n">
        <v>14</v>
      </c>
      <c r="G56" t="n">
        <v>0</v>
      </c>
      <c r="H56" t="n">
        <v>2021</v>
      </c>
    </row>
    <row r="57">
      <c r="A57" t="inlineStr">
        <is>
          <t>buy100_high_11</t>
        </is>
      </c>
      <c r="B57" t="n">
        <v>52</v>
      </c>
      <c r="C57" t="n">
        <v>250000</v>
      </c>
      <c r="D57" t="n">
        <v>5</v>
      </c>
      <c r="E57" t="n">
        <v>39.6</v>
      </c>
      <c r="F57" t="n">
        <v>0.4</v>
      </c>
      <c r="G57" t="n">
        <v>157039</v>
      </c>
      <c r="H57" t="n">
        <v>322963</v>
      </c>
    </row>
    <row r="58">
      <c r="A58" t="inlineStr">
        <is>
          <t>buy100_high_11</t>
        </is>
      </c>
      <c r="B58" t="n">
        <v>53</v>
      </c>
      <c r="C58" t="n">
        <v>500000</v>
      </c>
      <c r="D58" t="n">
        <v>7</v>
      </c>
      <c r="E58" t="n">
        <v>19.8</v>
      </c>
      <c r="F58" t="n">
        <v>0.2</v>
      </c>
      <c r="G58" t="n">
        <v>500000</v>
      </c>
      <c r="H58" t="n">
        <v>677034</v>
      </c>
    </row>
    <row r="59">
      <c r="A59" t="inlineStr">
        <is>
          <t>buy100_high_11</t>
        </is>
      </c>
      <c r="B59" t="n">
        <v>54</v>
      </c>
      <c r="C59" t="n">
        <v>750000</v>
      </c>
      <c r="D59" t="n">
        <v>8</v>
      </c>
      <c r="E59" t="n">
        <v>39.6</v>
      </c>
      <c r="F59" t="n">
        <v>0.4</v>
      </c>
      <c r="G59" t="n">
        <v>677035</v>
      </c>
      <c r="H59" t="n">
        <v>842959</v>
      </c>
    </row>
    <row r="60">
      <c r="A60" t="inlineStr">
        <is>
          <t>buy100_high_11</t>
        </is>
      </c>
      <c r="B60" t="n">
        <v>55</v>
      </c>
      <c r="C60" t="n">
        <v>999999</v>
      </c>
      <c r="D60" t="n">
        <v>12</v>
      </c>
      <c r="E60" t="n">
        <v>11880</v>
      </c>
      <c r="F60" t="n">
        <v>120</v>
      </c>
      <c r="G60" t="n">
        <v>999999</v>
      </c>
      <c r="H60" t="n">
        <v>999999</v>
      </c>
    </row>
    <row r="61">
      <c r="A61" t="inlineStr">
        <is>
          <t>buy100_high_12</t>
        </is>
      </c>
      <c r="B61" t="n">
        <v>56</v>
      </c>
      <c r="C61" t="n">
        <v>0</v>
      </c>
      <c r="D61" t="n">
        <v>2</v>
      </c>
      <c r="E61" t="n">
        <v>2376</v>
      </c>
      <c r="F61" t="n">
        <v>24</v>
      </c>
      <c r="G61" t="n">
        <v>0</v>
      </c>
      <c r="H61" t="n">
        <v>165</v>
      </c>
    </row>
    <row r="62">
      <c r="A62" t="inlineStr">
        <is>
          <t>buy100_high_12</t>
        </is>
      </c>
      <c r="B62" t="n">
        <v>57</v>
      </c>
      <c r="C62" t="n">
        <v>250000</v>
      </c>
      <c r="D62" t="n">
        <v>5</v>
      </c>
      <c r="E62" t="n">
        <v>69.3</v>
      </c>
      <c r="F62" t="n">
        <v>0.7</v>
      </c>
      <c r="G62" t="n">
        <v>113728</v>
      </c>
      <c r="H62" t="n">
        <v>255029</v>
      </c>
    </row>
    <row r="63">
      <c r="A63" t="inlineStr">
        <is>
          <t>buy100_high_12</t>
        </is>
      </c>
      <c r="B63" t="n">
        <v>58</v>
      </c>
      <c r="C63" t="n">
        <v>500000</v>
      </c>
      <c r="D63" t="n">
        <v>7</v>
      </c>
      <c r="E63" t="n">
        <v>19.8</v>
      </c>
      <c r="F63" t="n">
        <v>0.2</v>
      </c>
      <c r="G63" t="n">
        <v>418343</v>
      </c>
      <c r="H63" t="n">
        <v>581655</v>
      </c>
    </row>
    <row r="64">
      <c r="A64" t="inlineStr">
        <is>
          <t>buy100_high_12</t>
        </is>
      </c>
      <c r="B64" t="n">
        <v>59</v>
      </c>
      <c r="C64" t="n">
        <v>750000</v>
      </c>
      <c r="D64" t="n">
        <v>9</v>
      </c>
      <c r="E64" t="n">
        <v>69.3</v>
      </c>
      <c r="F64" t="n">
        <v>0.7</v>
      </c>
      <c r="G64" t="n">
        <v>744969</v>
      </c>
      <c r="H64" t="n">
        <v>886270</v>
      </c>
    </row>
    <row r="65">
      <c r="A65" t="inlineStr">
        <is>
          <t>buy100_high_12</t>
        </is>
      </c>
      <c r="B65" t="n">
        <v>60</v>
      </c>
      <c r="C65" t="n">
        <v>999999</v>
      </c>
      <c r="D65" t="n">
        <v>13</v>
      </c>
      <c r="E65" t="n">
        <v>16830</v>
      </c>
      <c r="F65" t="n">
        <v>170</v>
      </c>
      <c r="G65" t="n">
        <v>999999</v>
      </c>
      <c r="H65" t="n">
        <v>999999</v>
      </c>
    </row>
    <row r="66">
      <c r="A66" t="inlineStr">
        <is>
          <t>buy100_high_13</t>
        </is>
      </c>
      <c r="B66" t="n">
        <v>61</v>
      </c>
      <c r="C66" t="n">
        <v>0</v>
      </c>
      <c r="D66" t="n">
        <v>2</v>
      </c>
      <c r="E66" t="n">
        <v>3663</v>
      </c>
      <c r="F66" t="n">
        <v>37</v>
      </c>
      <c r="G66" t="n">
        <v>0</v>
      </c>
      <c r="H66" t="n">
        <v>3</v>
      </c>
    </row>
    <row r="67">
      <c r="A67" t="inlineStr">
        <is>
          <t>buy100_high_13</t>
        </is>
      </c>
      <c r="B67" t="n">
        <v>62</v>
      </c>
      <c r="C67" t="n">
        <v>250000</v>
      </c>
      <c r="D67" t="n">
        <v>6</v>
      </c>
      <c r="E67" t="n">
        <v>19.8</v>
      </c>
      <c r="F67" t="n">
        <v>0.2</v>
      </c>
      <c r="G67" t="n">
        <v>185512</v>
      </c>
      <c r="H67" t="n">
        <v>342755</v>
      </c>
    </row>
    <row r="68">
      <c r="A68" t="inlineStr">
        <is>
          <t>buy100_high_13</t>
        </is>
      </c>
      <c r="B68" t="n">
        <v>63</v>
      </c>
      <c r="C68" t="n">
        <v>500000</v>
      </c>
      <c r="D68" t="n">
        <v>8</v>
      </c>
      <c r="E68" t="n">
        <v>19.8</v>
      </c>
      <c r="F68" t="n">
        <v>0.2</v>
      </c>
      <c r="G68" t="n">
        <v>500000</v>
      </c>
      <c r="H68" t="n">
        <v>657243</v>
      </c>
    </row>
    <row r="69">
      <c r="A69" t="inlineStr">
        <is>
          <t>buy100_high_13</t>
        </is>
      </c>
      <c r="B69" t="n">
        <v>64</v>
      </c>
      <c r="C69" t="n">
        <v>750000</v>
      </c>
      <c r="D69" t="n">
        <v>9</v>
      </c>
      <c r="E69" t="n">
        <v>19.8</v>
      </c>
      <c r="F69" t="n">
        <v>0.2</v>
      </c>
      <c r="G69" t="n">
        <v>657244</v>
      </c>
      <c r="H69" t="n">
        <v>814486</v>
      </c>
    </row>
    <row r="70">
      <c r="A70" t="inlineStr">
        <is>
          <t>buy100_high_13</t>
        </is>
      </c>
      <c r="B70" t="n">
        <v>65</v>
      </c>
      <c r="C70" t="n">
        <v>999999</v>
      </c>
      <c r="D70" t="n">
        <v>14</v>
      </c>
      <c r="E70" t="n">
        <v>25740</v>
      </c>
      <c r="F70" t="n">
        <v>260</v>
      </c>
      <c r="G70" t="n">
        <v>999999</v>
      </c>
      <c r="H70" t="n">
        <v>999999</v>
      </c>
    </row>
    <row r="71">
      <c r="A71" t="inlineStr">
        <is>
          <t>buy100_high_14</t>
        </is>
      </c>
      <c r="B71" t="n">
        <v>66</v>
      </c>
      <c r="C71" t="n">
        <v>0</v>
      </c>
      <c r="D71" t="n">
        <v>3</v>
      </c>
      <c r="E71" t="n">
        <v>1782</v>
      </c>
      <c r="F71" t="n">
        <v>18</v>
      </c>
      <c r="G71" t="n">
        <v>0</v>
      </c>
      <c r="H71" t="n">
        <v>1078</v>
      </c>
    </row>
    <row r="72">
      <c r="A72" t="inlineStr">
        <is>
          <t>buy100_high_14</t>
        </is>
      </c>
      <c r="B72" t="n">
        <v>67</v>
      </c>
      <c r="C72" t="n">
        <v>250000</v>
      </c>
      <c r="D72" t="n">
        <v>6</v>
      </c>
      <c r="E72" t="n">
        <v>29.7</v>
      </c>
      <c r="F72" t="n">
        <v>0.3</v>
      </c>
      <c r="G72" t="n">
        <v>133121</v>
      </c>
      <c r="H72" t="n">
        <v>277443</v>
      </c>
    </row>
    <row r="73">
      <c r="A73" t="inlineStr">
        <is>
          <t>buy100_high_14</t>
        </is>
      </c>
      <c r="B73" t="n">
        <v>68</v>
      </c>
      <c r="C73" t="n">
        <v>500000</v>
      </c>
      <c r="D73" t="n">
        <v>8</v>
      </c>
      <c r="E73" t="n">
        <v>19.8</v>
      </c>
      <c r="F73" t="n">
        <v>0.2</v>
      </c>
      <c r="G73" t="n">
        <v>425815</v>
      </c>
      <c r="H73" t="n">
        <v>574184</v>
      </c>
    </row>
    <row r="74">
      <c r="A74" t="inlineStr">
        <is>
          <t>buy100_high_14</t>
        </is>
      </c>
      <c r="B74" t="n">
        <v>69</v>
      </c>
      <c r="C74" t="n">
        <v>750000</v>
      </c>
      <c r="D74" t="n">
        <v>10</v>
      </c>
      <c r="E74" t="n">
        <v>29.7</v>
      </c>
      <c r="F74" t="n">
        <v>0.3</v>
      </c>
      <c r="G74" t="n">
        <v>722555</v>
      </c>
      <c r="H74" t="n">
        <v>866877</v>
      </c>
    </row>
    <row r="75">
      <c r="A75" t="inlineStr">
        <is>
          <t>buy100_high_14</t>
        </is>
      </c>
      <c r="B75" t="n">
        <v>70</v>
      </c>
      <c r="C75" t="n">
        <v>999999</v>
      </c>
      <c r="D75" t="n">
        <v>15</v>
      </c>
      <c r="E75" t="n">
        <v>41580</v>
      </c>
      <c r="F75" t="n">
        <v>420</v>
      </c>
      <c r="G75" t="n">
        <v>999999</v>
      </c>
      <c r="H75" t="n">
        <v>999999</v>
      </c>
    </row>
    <row r="76">
      <c r="A76" t="inlineStr">
        <is>
          <t>buy100_high_15</t>
        </is>
      </c>
      <c r="B76" t="n">
        <v>71</v>
      </c>
      <c r="C76" t="n">
        <v>0</v>
      </c>
      <c r="D76" t="n">
        <v>3</v>
      </c>
      <c r="E76" t="n">
        <v>2673</v>
      </c>
      <c r="F76" t="n">
        <v>27</v>
      </c>
      <c r="G76" t="n">
        <v>0</v>
      </c>
      <c r="H76" t="n">
        <v>135</v>
      </c>
    </row>
    <row r="77">
      <c r="A77" t="inlineStr">
        <is>
          <t>buy100_high_15</t>
        </is>
      </c>
      <c r="B77" t="n">
        <v>72</v>
      </c>
      <c r="C77" t="n">
        <v>250000</v>
      </c>
      <c r="D77" t="n">
        <v>7</v>
      </c>
      <c r="E77" t="n">
        <v>19.8</v>
      </c>
      <c r="F77" t="n">
        <v>0.2</v>
      </c>
      <c r="G77" t="n">
        <v>217728</v>
      </c>
      <c r="H77" t="n">
        <v>358863</v>
      </c>
    </row>
    <row r="78">
      <c r="A78" t="inlineStr">
        <is>
          <t>buy100_high_15</t>
        </is>
      </c>
      <c r="B78" t="n">
        <v>73</v>
      </c>
      <c r="C78" t="n">
        <v>500000</v>
      </c>
      <c r="D78" t="n">
        <v>9</v>
      </c>
      <c r="E78" t="n">
        <v>19.8</v>
      </c>
      <c r="F78" t="n">
        <v>0.2</v>
      </c>
      <c r="G78" t="n">
        <v>500000</v>
      </c>
      <c r="H78" t="n">
        <v>641135</v>
      </c>
    </row>
    <row r="79">
      <c r="A79" t="inlineStr">
        <is>
          <t>buy100_high_15</t>
        </is>
      </c>
      <c r="B79" t="n">
        <v>74</v>
      </c>
      <c r="C79" t="n">
        <v>750000</v>
      </c>
      <c r="D79" t="n">
        <v>10</v>
      </c>
      <c r="E79" t="n">
        <v>19.8</v>
      </c>
      <c r="F79" t="n">
        <v>0.2</v>
      </c>
      <c r="G79" t="n">
        <v>641136</v>
      </c>
      <c r="H79" t="n">
        <v>782271</v>
      </c>
    </row>
    <row r="80">
      <c r="A80" t="inlineStr">
        <is>
          <t>buy100_high_15</t>
        </is>
      </c>
      <c r="B80" t="n">
        <v>75</v>
      </c>
      <c r="C80" t="n">
        <v>999999</v>
      </c>
      <c r="D80" t="n">
        <v>16</v>
      </c>
      <c r="E80" t="n">
        <v>61380</v>
      </c>
      <c r="F80" t="n">
        <v>620</v>
      </c>
      <c r="G80" t="n">
        <v>999999</v>
      </c>
      <c r="H80" t="n">
        <v>999999</v>
      </c>
    </row>
    <row r="81">
      <c r="A81" t="inlineStr">
        <is>
          <t>buy100_high_16</t>
        </is>
      </c>
      <c r="B81" t="n">
        <v>76</v>
      </c>
      <c r="C81" t="n">
        <v>0</v>
      </c>
      <c r="D81" t="n">
        <v>3</v>
      </c>
      <c r="E81" t="n">
        <v>2574</v>
      </c>
      <c r="F81" t="n">
        <v>26</v>
      </c>
      <c r="G81" t="n">
        <v>0</v>
      </c>
      <c r="H81" t="n">
        <v>30</v>
      </c>
    </row>
    <row r="82">
      <c r="A82" t="inlineStr">
        <is>
          <t>buy100_high_16</t>
        </is>
      </c>
      <c r="B82" t="n">
        <v>77</v>
      </c>
      <c r="C82" t="n">
        <v>250000</v>
      </c>
      <c r="D82" t="n">
        <v>7</v>
      </c>
      <c r="E82" t="n">
        <v>19.8</v>
      </c>
      <c r="F82" t="n">
        <v>0.2</v>
      </c>
      <c r="G82" t="n">
        <v>131904</v>
      </c>
      <c r="H82" t="n">
        <v>279142</v>
      </c>
    </row>
    <row r="83">
      <c r="A83" t="inlineStr">
        <is>
          <t>buy100_high_16</t>
        </is>
      </c>
      <c r="B83" t="n">
        <v>78</v>
      </c>
      <c r="C83" t="n">
        <v>500000</v>
      </c>
      <c r="D83" t="n">
        <v>9</v>
      </c>
      <c r="E83" t="n">
        <v>19.8</v>
      </c>
      <c r="F83" t="n">
        <v>0.2</v>
      </c>
      <c r="G83" t="n">
        <v>426381</v>
      </c>
      <c r="H83" t="n">
        <v>573618</v>
      </c>
    </row>
    <row r="84">
      <c r="A84" t="inlineStr">
        <is>
          <t>buy100_high_16</t>
        </is>
      </c>
      <c r="B84" t="n">
        <v>79</v>
      </c>
      <c r="C84" t="n">
        <v>750000</v>
      </c>
      <c r="D84" t="n">
        <v>11</v>
      </c>
      <c r="E84" t="n">
        <v>19.8</v>
      </c>
      <c r="F84" t="n">
        <v>0.2</v>
      </c>
      <c r="G84" t="n">
        <v>720857</v>
      </c>
      <c r="H84" t="n">
        <v>868094</v>
      </c>
    </row>
    <row r="85">
      <c r="A85" t="inlineStr">
        <is>
          <t>buy100_high_16</t>
        </is>
      </c>
      <c r="B85" t="n">
        <v>80</v>
      </c>
      <c r="C85" t="n">
        <v>999999</v>
      </c>
      <c r="D85" t="n">
        <v>17</v>
      </c>
      <c r="E85" t="n">
        <v>99000</v>
      </c>
      <c r="F85" t="n">
        <v>1000</v>
      </c>
      <c r="G85" t="n">
        <v>999999</v>
      </c>
      <c r="H85" t="n">
        <v>999999</v>
      </c>
    </row>
    <row r="86">
      <c r="A86" t="inlineStr">
        <is>
          <t>buy100_high_8</t>
        </is>
      </c>
      <c r="B86" t="n">
        <v>81</v>
      </c>
      <c r="C86" t="n">
        <v>0</v>
      </c>
      <c r="D86" t="n">
        <v>1</v>
      </c>
      <c r="E86" t="n">
        <v>2871</v>
      </c>
      <c r="F86" t="n">
        <v>29</v>
      </c>
      <c r="G86" t="n">
        <v>0</v>
      </c>
      <c r="H86" t="n">
        <v>2</v>
      </c>
    </row>
    <row r="87">
      <c r="A87" t="inlineStr">
        <is>
          <t>buy100_high_8</t>
        </is>
      </c>
      <c r="B87" t="n">
        <v>82</v>
      </c>
      <c r="C87" t="n">
        <v>250000</v>
      </c>
      <c r="D87" t="n">
        <v>4</v>
      </c>
      <c r="E87" t="n">
        <v>29.7</v>
      </c>
      <c r="F87" t="n">
        <v>0.3</v>
      </c>
      <c r="G87" t="n">
        <v>180998</v>
      </c>
      <c r="H87" t="n">
        <v>390883</v>
      </c>
    </row>
    <row r="88">
      <c r="A88" t="inlineStr">
        <is>
          <t>buy100_high_8</t>
        </is>
      </c>
      <c r="B88" t="n">
        <v>83</v>
      </c>
      <c r="C88" t="n">
        <v>500000</v>
      </c>
      <c r="D88" t="n">
        <v>5</v>
      </c>
      <c r="E88" t="n">
        <v>19.8</v>
      </c>
      <c r="F88" t="n">
        <v>0.2</v>
      </c>
      <c r="G88" t="n">
        <v>390884</v>
      </c>
      <c r="H88" t="n">
        <v>609117</v>
      </c>
    </row>
    <row r="89">
      <c r="A89" t="inlineStr">
        <is>
          <t>buy100_high_8</t>
        </is>
      </c>
      <c r="B89" t="n">
        <v>84</v>
      </c>
      <c r="C89" t="n">
        <v>750000</v>
      </c>
      <c r="D89" t="n">
        <v>6</v>
      </c>
      <c r="E89" t="n">
        <v>29.7</v>
      </c>
      <c r="F89" t="n">
        <v>0.3</v>
      </c>
      <c r="G89" t="n">
        <v>609118</v>
      </c>
      <c r="H89" t="n">
        <v>819003</v>
      </c>
    </row>
    <row r="90">
      <c r="A90" t="inlineStr">
        <is>
          <t>buy100_high_8</t>
        </is>
      </c>
      <c r="B90" t="n">
        <v>85</v>
      </c>
      <c r="C90" t="n">
        <v>999999</v>
      </c>
      <c r="D90" t="n">
        <v>9</v>
      </c>
      <c r="E90" t="n">
        <v>2871</v>
      </c>
      <c r="F90" t="n">
        <v>29</v>
      </c>
      <c r="G90" t="n">
        <v>999999</v>
      </c>
      <c r="H90" t="n">
        <v>999999</v>
      </c>
    </row>
    <row r="91">
      <c r="A91" t="inlineStr">
        <is>
          <t>buy100_high_9</t>
        </is>
      </c>
      <c r="B91" t="n">
        <v>86</v>
      </c>
      <c r="C91" t="n">
        <v>0</v>
      </c>
      <c r="D91" t="n">
        <v>2</v>
      </c>
      <c r="E91" t="n">
        <v>693</v>
      </c>
      <c r="F91" t="n">
        <v>7</v>
      </c>
      <c r="G91" t="n">
        <v>0</v>
      </c>
      <c r="H91" t="n">
        <v>17621</v>
      </c>
    </row>
    <row r="92">
      <c r="A92" t="inlineStr">
        <is>
          <t>buy100_high_9</t>
        </is>
      </c>
      <c r="B92" t="n">
        <v>87</v>
      </c>
      <c r="C92" t="n">
        <v>250000</v>
      </c>
      <c r="D92" t="n">
        <v>4</v>
      </c>
      <c r="E92" t="n">
        <v>59.4</v>
      </c>
      <c r="F92" t="n">
        <v>0.6</v>
      </c>
      <c r="G92" t="n">
        <v>123442</v>
      </c>
      <c r="H92" t="n">
        <v>298243</v>
      </c>
    </row>
    <row r="93">
      <c r="A93" t="inlineStr">
        <is>
          <t>buy100_high_9</t>
        </is>
      </c>
      <c r="B93" t="n">
        <v>88</v>
      </c>
      <c r="C93" t="n">
        <v>500000</v>
      </c>
      <c r="D93" t="n">
        <v>6</v>
      </c>
      <c r="E93" t="n">
        <v>19.8</v>
      </c>
      <c r="F93" t="n">
        <v>0.2</v>
      </c>
      <c r="G93" t="n">
        <v>500000</v>
      </c>
      <c r="H93" t="n">
        <v>701755</v>
      </c>
    </row>
    <row r="94">
      <c r="A94" t="inlineStr">
        <is>
          <t>buy100_high_9</t>
        </is>
      </c>
      <c r="B94" t="n">
        <v>89</v>
      </c>
      <c r="C94" t="n">
        <v>750000</v>
      </c>
      <c r="D94" t="n">
        <v>7</v>
      </c>
      <c r="E94" t="n">
        <v>59.4</v>
      </c>
      <c r="F94" t="n">
        <v>0.6</v>
      </c>
      <c r="G94" t="n">
        <v>701756</v>
      </c>
      <c r="H94" t="n">
        <v>876557</v>
      </c>
    </row>
    <row r="95">
      <c r="A95" t="inlineStr">
        <is>
          <t>buy100_high_9</t>
        </is>
      </c>
      <c r="B95" t="n">
        <v>90</v>
      </c>
      <c r="C95" t="n">
        <v>999999</v>
      </c>
      <c r="D95" t="n">
        <v>10</v>
      </c>
      <c r="E95" t="n">
        <v>4257</v>
      </c>
      <c r="F95" t="n">
        <v>43</v>
      </c>
      <c r="G95" t="n">
        <v>999999</v>
      </c>
      <c r="H95" t="n">
        <v>999999</v>
      </c>
    </row>
    <row r="96">
      <c r="A96" t="inlineStr">
        <is>
          <t>buy100_low_10</t>
        </is>
      </c>
      <c r="B96" t="n">
        <v>91</v>
      </c>
      <c r="C96" t="n">
        <v>0</v>
      </c>
      <c r="D96" t="n">
        <v>1</v>
      </c>
      <c r="E96" t="n">
        <v>881.1</v>
      </c>
      <c r="F96" t="n">
        <v>8.9</v>
      </c>
      <c r="G96" t="n">
        <v>0</v>
      </c>
      <c r="H96" t="n">
        <v>0</v>
      </c>
    </row>
    <row r="97">
      <c r="A97" t="inlineStr">
        <is>
          <t>buy100_low_10</t>
        </is>
      </c>
      <c r="B97" t="n">
        <v>92</v>
      </c>
      <c r="C97" t="n">
        <v>250000</v>
      </c>
      <c r="D97" t="n">
        <v>5</v>
      </c>
      <c r="E97" t="n">
        <v>99</v>
      </c>
      <c r="F97" t="n">
        <v>1</v>
      </c>
      <c r="G97" t="n">
        <v>205665</v>
      </c>
      <c r="H97" t="n">
        <v>347654</v>
      </c>
    </row>
    <row r="98">
      <c r="A98" t="inlineStr">
        <is>
          <t>buy100_low_10</t>
        </is>
      </c>
      <c r="B98" t="n">
        <v>93</v>
      </c>
      <c r="C98" t="n">
        <v>500000</v>
      </c>
      <c r="D98" t="n">
        <v>6</v>
      </c>
      <c r="E98" t="n">
        <v>49.5</v>
      </c>
      <c r="F98" t="n">
        <v>0.5</v>
      </c>
      <c r="G98" t="n">
        <v>347655</v>
      </c>
      <c r="H98" t="n">
        <v>652345</v>
      </c>
    </row>
    <row r="99">
      <c r="A99" t="inlineStr">
        <is>
          <t>buy100_low_10</t>
        </is>
      </c>
      <c r="B99" t="n">
        <v>94</v>
      </c>
      <c r="C99" t="n">
        <v>750000</v>
      </c>
      <c r="D99" t="n">
        <v>7</v>
      </c>
      <c r="E99" t="n">
        <v>99</v>
      </c>
      <c r="F99" t="n">
        <v>1</v>
      </c>
      <c r="G99" t="n">
        <v>652346</v>
      </c>
      <c r="H99" t="n">
        <v>794335</v>
      </c>
    </row>
    <row r="100">
      <c r="A100" t="inlineStr">
        <is>
          <t>buy100_low_10</t>
        </is>
      </c>
      <c r="B100" t="n">
        <v>95</v>
      </c>
      <c r="C100" t="n">
        <v>999999</v>
      </c>
      <c r="D100" t="n">
        <v>11</v>
      </c>
      <c r="E100" t="n">
        <v>881.1</v>
      </c>
      <c r="F100" t="n">
        <v>8.9</v>
      </c>
      <c r="G100" t="n">
        <v>999999</v>
      </c>
      <c r="H100" t="n">
        <v>999999</v>
      </c>
    </row>
    <row r="101">
      <c r="A101" t="inlineStr">
        <is>
          <t>buy100_low_11</t>
        </is>
      </c>
      <c r="B101" t="n">
        <v>96</v>
      </c>
      <c r="C101" t="n">
        <v>0</v>
      </c>
      <c r="D101" t="n">
        <v>2</v>
      </c>
      <c r="E101" t="n">
        <v>297</v>
      </c>
      <c r="F101" t="n">
        <v>3</v>
      </c>
      <c r="G101" t="n">
        <v>0</v>
      </c>
      <c r="H101" t="n">
        <v>3365</v>
      </c>
    </row>
    <row r="102">
      <c r="A102" t="inlineStr">
        <is>
          <t>buy100_low_11</t>
        </is>
      </c>
      <c r="B102" t="n">
        <v>97</v>
      </c>
      <c r="C102" t="n">
        <v>250000</v>
      </c>
      <c r="D102" t="n">
        <v>5</v>
      </c>
      <c r="E102" t="n">
        <v>99</v>
      </c>
      <c r="F102" t="n">
        <v>1</v>
      </c>
      <c r="G102" t="n">
        <v>110459</v>
      </c>
      <c r="H102" t="n">
        <v>251998</v>
      </c>
    </row>
    <row r="103">
      <c r="A103" t="inlineStr">
        <is>
          <t>buy100_low_11</t>
        </is>
      </c>
      <c r="B103" t="n">
        <v>98</v>
      </c>
      <c r="C103" t="n">
        <v>500000</v>
      </c>
      <c r="D103" t="n">
        <v>7</v>
      </c>
      <c r="E103" t="n">
        <v>69.3</v>
      </c>
      <c r="F103" t="n">
        <v>0.7</v>
      </c>
      <c r="G103" t="n">
        <v>500000</v>
      </c>
      <c r="H103" t="n">
        <v>748000</v>
      </c>
    </row>
    <row r="104">
      <c r="A104" t="inlineStr">
        <is>
          <t>buy100_low_11</t>
        </is>
      </c>
      <c r="B104" t="n">
        <v>99</v>
      </c>
      <c r="C104" t="n">
        <v>750000</v>
      </c>
      <c r="D104" t="n">
        <v>8</v>
      </c>
      <c r="E104" t="n">
        <v>99</v>
      </c>
      <c r="F104" t="n">
        <v>1</v>
      </c>
      <c r="G104" t="n">
        <v>748001</v>
      </c>
      <c r="H104" t="n">
        <v>889540</v>
      </c>
    </row>
    <row r="105">
      <c r="A105" t="inlineStr">
        <is>
          <t>buy100_low_11</t>
        </is>
      </c>
      <c r="B105" t="n">
        <v>100</v>
      </c>
      <c r="C105" t="n">
        <v>999999</v>
      </c>
      <c r="D105" t="n">
        <v>12</v>
      </c>
      <c r="E105" t="n">
        <v>831.6</v>
      </c>
      <c r="F105" t="n">
        <v>8.4</v>
      </c>
      <c r="G105" t="n">
        <v>999999</v>
      </c>
      <c r="H105" t="n">
        <v>999999</v>
      </c>
    </row>
    <row r="106">
      <c r="A106" t="inlineStr">
        <is>
          <t>buy100_low_12</t>
        </is>
      </c>
      <c r="B106" t="n">
        <v>101</v>
      </c>
      <c r="C106" t="n">
        <v>0</v>
      </c>
      <c r="D106" t="n">
        <v>2</v>
      </c>
      <c r="E106" t="n">
        <v>297</v>
      </c>
      <c r="F106" t="n">
        <v>3</v>
      </c>
      <c r="G106" t="n">
        <v>0</v>
      </c>
      <c r="H106" t="n">
        <v>2703</v>
      </c>
    </row>
    <row r="107">
      <c r="A107" t="inlineStr">
        <is>
          <t>buy100_low_12</t>
        </is>
      </c>
      <c r="B107" t="n">
        <v>102</v>
      </c>
      <c r="C107" t="n">
        <v>250000</v>
      </c>
      <c r="D107" t="n">
        <v>6</v>
      </c>
      <c r="E107" t="n">
        <v>99</v>
      </c>
      <c r="F107" t="n">
        <v>1</v>
      </c>
      <c r="G107" t="n">
        <v>206454</v>
      </c>
      <c r="H107" t="n">
        <v>333570</v>
      </c>
    </row>
    <row r="108">
      <c r="A108" t="inlineStr">
        <is>
          <t>buy100_low_12</t>
        </is>
      </c>
      <c r="B108" t="n">
        <v>103</v>
      </c>
      <c r="C108" t="n">
        <v>500000</v>
      </c>
      <c r="D108" t="n">
        <v>7</v>
      </c>
      <c r="E108" t="n">
        <v>49.5</v>
      </c>
      <c r="F108" t="n">
        <v>0.5</v>
      </c>
      <c r="G108" t="n">
        <v>333571</v>
      </c>
      <c r="H108" t="n">
        <v>666428</v>
      </c>
    </row>
    <row r="109">
      <c r="A109" t="inlineStr">
        <is>
          <t>buy100_low_12</t>
        </is>
      </c>
      <c r="B109" t="n">
        <v>104</v>
      </c>
      <c r="C109" t="n">
        <v>750000</v>
      </c>
      <c r="D109" t="n">
        <v>8</v>
      </c>
      <c r="E109" t="n">
        <v>99</v>
      </c>
      <c r="F109" t="n">
        <v>1</v>
      </c>
      <c r="G109" t="n">
        <v>666429</v>
      </c>
      <c r="H109" t="n">
        <v>793544</v>
      </c>
    </row>
    <row r="110">
      <c r="A110" t="inlineStr">
        <is>
          <t>buy100_low_12</t>
        </is>
      </c>
      <c r="B110" t="n">
        <v>105</v>
      </c>
      <c r="C110" t="n">
        <v>999999</v>
      </c>
      <c r="D110" t="n">
        <v>13</v>
      </c>
      <c r="E110" t="n">
        <v>990</v>
      </c>
      <c r="F110" t="n">
        <v>10</v>
      </c>
      <c r="G110" t="n">
        <v>999999</v>
      </c>
      <c r="H110" t="n">
        <v>999999</v>
      </c>
    </row>
    <row r="111">
      <c r="A111" t="inlineStr">
        <is>
          <t>buy100_low_13</t>
        </is>
      </c>
      <c r="B111" t="n">
        <v>106</v>
      </c>
      <c r="C111" t="n">
        <v>0</v>
      </c>
      <c r="D111" t="n">
        <v>1</v>
      </c>
      <c r="E111" t="n">
        <v>801.9</v>
      </c>
      <c r="F111" t="n">
        <v>8.1</v>
      </c>
      <c r="G111" t="n">
        <v>0</v>
      </c>
      <c r="H111" t="n">
        <v>0</v>
      </c>
    </row>
    <row r="112">
      <c r="A112" t="inlineStr">
        <is>
          <t>buy100_low_13</t>
        </is>
      </c>
      <c r="B112" t="n">
        <v>107</v>
      </c>
      <c r="C112" t="n">
        <v>250000</v>
      </c>
      <c r="D112" t="n">
        <v>6</v>
      </c>
      <c r="E112" t="n">
        <v>89.09999999999999</v>
      </c>
      <c r="F112" t="n">
        <v>0.8999999999999999</v>
      </c>
      <c r="G112" t="n">
        <v>131726</v>
      </c>
      <c r="H112" t="n">
        <v>286270</v>
      </c>
    </row>
    <row r="113">
      <c r="A113" t="inlineStr">
        <is>
          <t>buy100_low_13</t>
        </is>
      </c>
      <c r="B113" t="n">
        <v>108</v>
      </c>
      <c r="C113" t="n">
        <v>500000</v>
      </c>
      <c r="D113" t="n">
        <v>8</v>
      </c>
      <c r="E113" t="n">
        <v>69.3</v>
      </c>
      <c r="F113" t="n">
        <v>0.7</v>
      </c>
      <c r="G113" t="n">
        <v>500000</v>
      </c>
      <c r="H113" t="n">
        <v>713728</v>
      </c>
    </row>
    <row r="114">
      <c r="A114" t="inlineStr">
        <is>
          <t>buy100_low_13</t>
        </is>
      </c>
      <c r="B114" t="n">
        <v>109</v>
      </c>
      <c r="C114" t="n">
        <v>750000</v>
      </c>
      <c r="D114" t="n">
        <v>9</v>
      </c>
      <c r="E114" t="n">
        <v>89.09999999999999</v>
      </c>
      <c r="F114" t="n">
        <v>0.8999999999999999</v>
      </c>
      <c r="G114" t="n">
        <v>713729</v>
      </c>
      <c r="H114" t="n">
        <v>868273</v>
      </c>
    </row>
    <row r="115">
      <c r="A115" t="inlineStr">
        <is>
          <t>buy100_low_13</t>
        </is>
      </c>
      <c r="B115" t="n">
        <v>110</v>
      </c>
      <c r="C115" t="n">
        <v>999999</v>
      </c>
      <c r="D115" t="n">
        <v>14</v>
      </c>
      <c r="E115" t="n">
        <v>801.9</v>
      </c>
      <c r="F115" t="n">
        <v>8.1</v>
      </c>
      <c r="G115" t="n">
        <v>999999</v>
      </c>
      <c r="H115" t="n">
        <v>999999</v>
      </c>
    </row>
    <row r="116">
      <c r="A116" t="inlineStr">
        <is>
          <t>buy100_low_14</t>
        </is>
      </c>
      <c r="B116" t="n">
        <v>111</v>
      </c>
      <c r="C116" t="n">
        <v>0</v>
      </c>
      <c r="D116" t="n">
        <v>2</v>
      </c>
      <c r="E116" t="n">
        <v>396</v>
      </c>
      <c r="F116" t="n">
        <v>4</v>
      </c>
      <c r="G116" t="n">
        <v>0</v>
      </c>
      <c r="H116" t="n">
        <v>197</v>
      </c>
    </row>
    <row r="117">
      <c r="A117" t="inlineStr">
        <is>
          <t>buy100_low_14</t>
        </is>
      </c>
      <c r="B117" t="n">
        <v>112</v>
      </c>
      <c r="C117" t="n">
        <v>250000</v>
      </c>
      <c r="D117" t="n">
        <v>7</v>
      </c>
      <c r="E117" t="n">
        <v>99</v>
      </c>
      <c r="F117" t="n">
        <v>1</v>
      </c>
      <c r="G117" t="n">
        <v>219766</v>
      </c>
      <c r="H117" t="n">
        <v>334442</v>
      </c>
    </row>
    <row r="118">
      <c r="A118" t="inlineStr">
        <is>
          <t>buy100_low_14</t>
        </is>
      </c>
      <c r="B118" t="n">
        <v>113</v>
      </c>
      <c r="C118" t="n">
        <v>500000</v>
      </c>
      <c r="D118" t="n">
        <v>8</v>
      </c>
      <c r="E118" t="n">
        <v>49.5</v>
      </c>
      <c r="F118" t="n">
        <v>0.5</v>
      </c>
      <c r="G118" t="n">
        <v>334443</v>
      </c>
      <c r="H118" t="n">
        <v>665555</v>
      </c>
    </row>
    <row r="119">
      <c r="A119" t="inlineStr">
        <is>
          <t>buy100_low_14</t>
        </is>
      </c>
      <c r="B119" t="n">
        <v>114</v>
      </c>
      <c r="C119" t="n">
        <v>750000</v>
      </c>
      <c r="D119" t="n">
        <v>9</v>
      </c>
      <c r="E119" t="n">
        <v>99</v>
      </c>
      <c r="F119" t="n">
        <v>1</v>
      </c>
      <c r="G119" t="n">
        <v>665556</v>
      </c>
      <c r="H119" t="n">
        <v>780232</v>
      </c>
    </row>
    <row r="120">
      <c r="A120" t="inlineStr">
        <is>
          <t>buy100_low_14</t>
        </is>
      </c>
      <c r="B120" t="n">
        <v>115</v>
      </c>
      <c r="C120" t="n">
        <v>999999</v>
      </c>
      <c r="D120" t="n">
        <v>15</v>
      </c>
      <c r="E120" t="n">
        <v>702.9</v>
      </c>
      <c r="F120" t="n">
        <v>7.1</v>
      </c>
      <c r="G120" t="n">
        <v>999999</v>
      </c>
      <c r="H120" t="n">
        <v>999999</v>
      </c>
    </row>
    <row r="121">
      <c r="A121" t="inlineStr">
        <is>
          <t>buy100_low_15</t>
        </is>
      </c>
      <c r="B121" t="n">
        <v>116</v>
      </c>
      <c r="C121" t="n">
        <v>0</v>
      </c>
      <c r="D121" t="n">
        <v>3</v>
      </c>
      <c r="E121" t="n">
        <v>297</v>
      </c>
      <c r="F121" t="n">
        <v>3</v>
      </c>
      <c r="G121" t="n">
        <v>0</v>
      </c>
      <c r="H121" t="n">
        <v>1712</v>
      </c>
    </row>
    <row r="122">
      <c r="A122" t="inlineStr">
        <is>
          <t>buy100_low_15</t>
        </is>
      </c>
      <c r="B122" t="n">
        <v>117</v>
      </c>
      <c r="C122" t="n">
        <v>250000</v>
      </c>
      <c r="D122" t="n">
        <v>7</v>
      </c>
      <c r="E122" t="n">
        <v>99</v>
      </c>
      <c r="F122" t="n">
        <v>1</v>
      </c>
      <c r="G122" t="n">
        <v>154158</v>
      </c>
      <c r="H122" t="n">
        <v>273794</v>
      </c>
    </row>
    <row r="123">
      <c r="A123" t="inlineStr">
        <is>
          <t>buy100_low_15</t>
        </is>
      </c>
      <c r="B123" t="n">
        <v>118</v>
      </c>
      <c r="C123" t="n">
        <v>500000</v>
      </c>
      <c r="D123" t="n">
        <v>9</v>
      </c>
      <c r="E123" t="n">
        <v>69.3</v>
      </c>
      <c r="F123" t="n">
        <v>0.7</v>
      </c>
      <c r="G123" t="n">
        <v>500000</v>
      </c>
      <c r="H123" t="n">
        <v>726204</v>
      </c>
    </row>
    <row r="124">
      <c r="A124" t="inlineStr">
        <is>
          <t>buy100_low_15</t>
        </is>
      </c>
      <c r="B124" t="n">
        <v>119</v>
      </c>
      <c r="C124" t="n">
        <v>750000</v>
      </c>
      <c r="D124" t="n">
        <v>10</v>
      </c>
      <c r="E124" t="n">
        <v>99</v>
      </c>
      <c r="F124" t="n">
        <v>1</v>
      </c>
      <c r="G124" t="n">
        <v>726205</v>
      </c>
      <c r="H124" t="n">
        <v>845841</v>
      </c>
    </row>
    <row r="125">
      <c r="A125" t="inlineStr">
        <is>
          <t>buy100_low_15</t>
        </is>
      </c>
      <c r="B125" t="n">
        <v>120</v>
      </c>
      <c r="C125" t="n">
        <v>999999</v>
      </c>
      <c r="D125" t="n">
        <v>16</v>
      </c>
      <c r="E125" t="n">
        <v>1485</v>
      </c>
      <c r="F125" t="n">
        <v>15</v>
      </c>
      <c r="G125" t="n">
        <v>999999</v>
      </c>
      <c r="H125" t="n">
        <v>999999</v>
      </c>
    </row>
    <row r="126">
      <c r="A126" t="inlineStr">
        <is>
          <t>buy100_low_16</t>
        </is>
      </c>
      <c r="B126" t="n">
        <v>121</v>
      </c>
      <c r="C126" t="n">
        <v>0</v>
      </c>
      <c r="D126" t="n">
        <v>3</v>
      </c>
      <c r="E126" t="n">
        <v>198</v>
      </c>
      <c r="F126" t="n">
        <v>2</v>
      </c>
      <c r="G126" t="n">
        <v>0</v>
      </c>
      <c r="H126" t="n">
        <v>9763</v>
      </c>
    </row>
    <row r="127">
      <c r="A127" t="inlineStr">
        <is>
          <t>buy100_low_16</t>
        </is>
      </c>
      <c r="B127" t="n">
        <v>122</v>
      </c>
      <c r="C127" t="n">
        <v>250000</v>
      </c>
      <c r="D127" t="n">
        <v>8</v>
      </c>
      <c r="E127" t="n">
        <v>99</v>
      </c>
      <c r="F127" t="n">
        <v>1</v>
      </c>
      <c r="G127" t="n">
        <v>233751</v>
      </c>
      <c r="H127" t="n">
        <v>335579</v>
      </c>
    </row>
    <row r="128">
      <c r="A128" t="inlineStr">
        <is>
          <t>buy100_low_16</t>
        </is>
      </c>
      <c r="B128" t="n">
        <v>123</v>
      </c>
      <c r="C128" t="n">
        <v>500000</v>
      </c>
      <c r="D128" t="n">
        <v>9</v>
      </c>
      <c r="E128" t="n">
        <v>49.5</v>
      </c>
      <c r="F128" t="n">
        <v>0.5</v>
      </c>
      <c r="G128" t="n">
        <v>335580</v>
      </c>
      <c r="H128" t="n">
        <v>664419</v>
      </c>
    </row>
    <row r="129">
      <c r="A129" t="inlineStr">
        <is>
          <t>buy100_low_16</t>
        </is>
      </c>
      <c r="B129" t="n">
        <v>124</v>
      </c>
      <c r="C129" t="n">
        <v>750000</v>
      </c>
      <c r="D129" t="n">
        <v>10</v>
      </c>
      <c r="E129" t="n">
        <v>99</v>
      </c>
      <c r="F129" t="n">
        <v>1</v>
      </c>
      <c r="G129" t="n">
        <v>664420</v>
      </c>
      <c r="H129" t="n">
        <v>766248</v>
      </c>
    </row>
    <row r="130">
      <c r="A130" t="inlineStr">
        <is>
          <t>buy100_low_16</t>
        </is>
      </c>
      <c r="B130" t="n">
        <v>125</v>
      </c>
      <c r="C130" t="n">
        <v>999999</v>
      </c>
      <c r="D130" t="n">
        <v>17</v>
      </c>
      <c r="E130" t="n">
        <v>1584</v>
      </c>
      <c r="F130" t="n">
        <v>16</v>
      </c>
      <c r="G130" t="n">
        <v>999999</v>
      </c>
      <c r="H130" t="n">
        <v>999999</v>
      </c>
    </row>
    <row r="131">
      <c r="A131" t="inlineStr">
        <is>
          <t>buy100_low_8</t>
        </is>
      </c>
      <c r="B131" t="n">
        <v>126</v>
      </c>
      <c r="C131" t="n">
        <v>0</v>
      </c>
      <c r="D131" t="n">
        <v>1</v>
      </c>
      <c r="E131" t="n">
        <v>554.4</v>
      </c>
      <c r="F131" t="n">
        <v>5.6</v>
      </c>
      <c r="G131" t="n">
        <v>0</v>
      </c>
      <c r="H131" t="n">
        <v>412</v>
      </c>
    </row>
    <row r="132">
      <c r="A132" t="inlineStr">
        <is>
          <t>buy100_low_8</t>
        </is>
      </c>
      <c r="B132" t="n">
        <v>127</v>
      </c>
      <c r="C132" t="n">
        <v>250000</v>
      </c>
      <c r="D132" t="n">
        <v>4</v>
      </c>
      <c r="E132" t="n">
        <v>99</v>
      </c>
      <c r="F132" t="n">
        <v>1</v>
      </c>
      <c r="G132" t="n">
        <v>182075</v>
      </c>
      <c r="H132" t="n">
        <v>344605</v>
      </c>
    </row>
    <row r="133">
      <c r="A133" t="inlineStr">
        <is>
          <t>buy100_low_8</t>
        </is>
      </c>
      <c r="B133" t="n">
        <v>128</v>
      </c>
      <c r="C133" t="n">
        <v>500000</v>
      </c>
      <c r="D133" t="n">
        <v>5</v>
      </c>
      <c r="E133" t="n">
        <v>49.5</v>
      </c>
      <c r="F133" t="n">
        <v>0.5</v>
      </c>
      <c r="G133" t="n">
        <v>344606</v>
      </c>
      <c r="H133" t="n">
        <v>655805</v>
      </c>
    </row>
    <row r="134">
      <c r="A134" t="inlineStr">
        <is>
          <t>buy100_low_8</t>
        </is>
      </c>
      <c r="B134" t="n">
        <v>129</v>
      </c>
      <c r="C134" t="n">
        <v>750000</v>
      </c>
      <c r="D134" t="n">
        <v>6</v>
      </c>
      <c r="E134" t="n">
        <v>99</v>
      </c>
      <c r="F134" t="n">
        <v>1</v>
      </c>
      <c r="G134" t="n">
        <v>655806</v>
      </c>
      <c r="H134" t="n">
        <v>818336</v>
      </c>
    </row>
    <row r="135">
      <c r="A135" t="inlineStr">
        <is>
          <t>buy100_low_8</t>
        </is>
      </c>
      <c r="B135" t="n">
        <v>130</v>
      </c>
      <c r="C135" t="n">
        <v>999999</v>
      </c>
      <c r="D135" t="n">
        <v>9</v>
      </c>
      <c r="E135" t="n">
        <v>554.4</v>
      </c>
      <c r="F135" t="n">
        <v>5.6</v>
      </c>
      <c r="G135" t="n">
        <v>999999</v>
      </c>
      <c r="H135" t="n">
        <v>999999</v>
      </c>
    </row>
    <row r="136">
      <c r="A136" t="inlineStr">
        <is>
          <t>buy100_low_9</t>
        </is>
      </c>
      <c r="B136" t="n">
        <v>131</v>
      </c>
      <c r="C136" t="n">
        <v>0</v>
      </c>
      <c r="D136" t="n">
        <v>1</v>
      </c>
      <c r="E136" t="n">
        <v>554.4</v>
      </c>
      <c r="F136" t="n">
        <v>5.6</v>
      </c>
      <c r="G136" t="n">
        <v>0</v>
      </c>
      <c r="H136" t="n">
        <v>46</v>
      </c>
    </row>
    <row r="137">
      <c r="A137" t="inlineStr">
        <is>
          <t>buy100_low_9</t>
        </is>
      </c>
      <c r="B137" t="n">
        <v>132</v>
      </c>
      <c r="C137" t="n">
        <v>250000</v>
      </c>
      <c r="D137" t="n">
        <v>5</v>
      </c>
      <c r="E137" t="n">
        <v>69.3</v>
      </c>
      <c r="F137" t="n">
        <v>0.7</v>
      </c>
      <c r="G137" t="n">
        <v>236406</v>
      </c>
      <c r="H137" t="n">
        <v>500022</v>
      </c>
    </row>
    <row r="138">
      <c r="A138" t="inlineStr">
        <is>
          <t>buy100_low_9</t>
        </is>
      </c>
      <c r="B138" t="n">
        <v>133</v>
      </c>
      <c r="C138" t="n">
        <v>500000</v>
      </c>
      <c r="D138" t="n">
        <v>5</v>
      </c>
      <c r="E138" t="n">
        <v>69.3</v>
      </c>
      <c r="F138" t="n">
        <v>0.7</v>
      </c>
      <c r="G138" t="n">
        <v>236406</v>
      </c>
      <c r="H138" t="n">
        <v>500022</v>
      </c>
    </row>
    <row r="139">
      <c r="A139" t="inlineStr">
        <is>
          <t>buy100_low_9</t>
        </is>
      </c>
      <c r="B139" t="n">
        <v>134</v>
      </c>
      <c r="C139" t="n">
        <v>750000</v>
      </c>
      <c r="D139" t="n">
        <v>6</v>
      </c>
      <c r="E139" t="n">
        <v>69.3</v>
      </c>
      <c r="F139" t="n">
        <v>0.7</v>
      </c>
      <c r="G139" t="n">
        <v>500023</v>
      </c>
      <c r="H139" t="n">
        <v>763639</v>
      </c>
    </row>
    <row r="140">
      <c r="A140" t="inlineStr">
        <is>
          <t>buy100_low_9</t>
        </is>
      </c>
      <c r="B140" t="n">
        <v>135</v>
      </c>
      <c r="C140" t="n">
        <v>999999</v>
      </c>
      <c r="D140" t="n">
        <v>10</v>
      </c>
      <c r="E140" t="n">
        <v>554.4</v>
      </c>
      <c r="F140" t="n">
        <v>5.6</v>
      </c>
      <c r="G140" t="n">
        <v>999999</v>
      </c>
      <c r="H140" t="n">
        <v>999999</v>
      </c>
    </row>
    <row r="141">
      <c r="A141" t="inlineStr">
        <is>
          <t>buy100_medium_10</t>
        </is>
      </c>
      <c r="B141" t="n">
        <v>136</v>
      </c>
      <c r="C141" t="n">
        <v>0</v>
      </c>
      <c r="D141" t="n">
        <v>2</v>
      </c>
      <c r="E141" t="n">
        <v>495</v>
      </c>
      <c r="F141" t="n">
        <v>5</v>
      </c>
      <c r="G141" t="n">
        <v>0</v>
      </c>
      <c r="H141" t="n">
        <v>5969</v>
      </c>
    </row>
    <row r="142">
      <c r="A142" t="inlineStr">
        <is>
          <t>buy100_medium_10</t>
        </is>
      </c>
      <c r="B142" t="n">
        <v>137</v>
      </c>
      <c r="C142" t="n">
        <v>250000</v>
      </c>
      <c r="D142" t="n">
        <v>5</v>
      </c>
      <c r="E142" t="n">
        <v>59.4</v>
      </c>
      <c r="F142" t="n">
        <v>0.6</v>
      </c>
      <c r="G142" t="n">
        <v>178656</v>
      </c>
      <c r="H142" t="n">
        <v>381157</v>
      </c>
    </row>
    <row r="143">
      <c r="A143" t="inlineStr">
        <is>
          <t>buy100_medium_10</t>
        </is>
      </c>
      <c r="B143" t="n">
        <v>138</v>
      </c>
      <c r="C143" t="n">
        <v>500000</v>
      </c>
      <c r="D143" t="n">
        <v>6</v>
      </c>
      <c r="E143" t="n">
        <v>39.6</v>
      </c>
      <c r="F143" t="n">
        <v>0.4</v>
      </c>
      <c r="G143" t="n">
        <v>381158</v>
      </c>
      <c r="H143" t="n">
        <v>618840</v>
      </c>
    </row>
    <row r="144">
      <c r="A144" t="inlineStr">
        <is>
          <t>buy100_medium_10</t>
        </is>
      </c>
      <c r="B144" t="n">
        <v>139</v>
      </c>
      <c r="C144" t="n">
        <v>750000</v>
      </c>
      <c r="D144" t="n">
        <v>7</v>
      </c>
      <c r="E144" t="n">
        <v>59.4</v>
      </c>
      <c r="F144" t="n">
        <v>0.6</v>
      </c>
      <c r="G144" t="n">
        <v>618841</v>
      </c>
      <c r="H144" t="n">
        <v>821342</v>
      </c>
    </row>
    <row r="145">
      <c r="A145" t="inlineStr">
        <is>
          <t>buy100_medium_10</t>
        </is>
      </c>
      <c r="B145" t="n">
        <v>140</v>
      </c>
      <c r="C145" t="n">
        <v>999999</v>
      </c>
      <c r="D145" t="n">
        <v>11</v>
      </c>
      <c r="E145" t="n">
        <v>2178</v>
      </c>
      <c r="F145" t="n">
        <v>22</v>
      </c>
      <c r="G145" t="n">
        <v>999999</v>
      </c>
      <c r="H145" t="n">
        <v>999999</v>
      </c>
    </row>
    <row r="146">
      <c r="A146" t="inlineStr">
        <is>
          <t>buy100_medium_11</t>
        </is>
      </c>
      <c r="B146" t="n">
        <v>141</v>
      </c>
      <c r="C146" t="n">
        <v>0</v>
      </c>
      <c r="D146" t="n">
        <v>2</v>
      </c>
      <c r="E146" t="n">
        <v>594</v>
      </c>
      <c r="F146" t="n">
        <v>6</v>
      </c>
      <c r="G146" t="n">
        <v>0</v>
      </c>
      <c r="H146" t="n">
        <v>3083</v>
      </c>
    </row>
    <row r="147">
      <c r="A147" t="inlineStr">
        <is>
          <t>buy100_medium_11</t>
        </is>
      </c>
      <c r="B147" t="n">
        <v>142</v>
      </c>
      <c r="C147" t="n">
        <v>250000</v>
      </c>
      <c r="D147" t="n">
        <v>5</v>
      </c>
      <c r="E147" t="n">
        <v>69.3</v>
      </c>
      <c r="F147" t="n">
        <v>0.7</v>
      </c>
      <c r="G147" t="n">
        <v>111108</v>
      </c>
      <c r="H147" t="n">
        <v>290671</v>
      </c>
    </row>
    <row r="148">
      <c r="A148" t="inlineStr">
        <is>
          <t>buy100_medium_11</t>
        </is>
      </c>
      <c r="B148" t="n">
        <v>143</v>
      </c>
      <c r="C148" t="n">
        <v>500000</v>
      </c>
      <c r="D148" t="n">
        <v>7</v>
      </c>
      <c r="E148" t="n">
        <v>49.5</v>
      </c>
      <c r="F148" t="n">
        <v>0.5</v>
      </c>
      <c r="G148" t="n">
        <v>500000</v>
      </c>
      <c r="H148" t="n">
        <v>709327</v>
      </c>
    </row>
    <row r="149">
      <c r="A149" t="inlineStr">
        <is>
          <t>buy100_medium_11</t>
        </is>
      </c>
      <c r="B149" t="n">
        <v>144</v>
      </c>
      <c r="C149" t="n">
        <v>750000</v>
      </c>
      <c r="D149" t="n">
        <v>8</v>
      </c>
      <c r="E149" t="n">
        <v>69.3</v>
      </c>
      <c r="F149" t="n">
        <v>0.7</v>
      </c>
      <c r="G149" t="n">
        <v>709328</v>
      </c>
      <c r="H149" t="n">
        <v>888891</v>
      </c>
    </row>
    <row r="150">
      <c r="A150" t="inlineStr">
        <is>
          <t>buy100_medium_11</t>
        </is>
      </c>
      <c r="B150" t="n">
        <v>145</v>
      </c>
      <c r="C150" t="n">
        <v>999999</v>
      </c>
      <c r="D150" t="n">
        <v>12</v>
      </c>
      <c r="E150" t="n">
        <v>2376</v>
      </c>
      <c r="F150" t="n">
        <v>24</v>
      </c>
      <c r="G150" t="n">
        <v>999999</v>
      </c>
      <c r="H150" t="n">
        <v>999999</v>
      </c>
    </row>
    <row r="151">
      <c r="A151" t="inlineStr">
        <is>
          <t>buy100_medium_12</t>
        </is>
      </c>
      <c r="B151" t="n">
        <v>146</v>
      </c>
      <c r="C151" t="n">
        <v>0</v>
      </c>
      <c r="D151" t="n">
        <v>2</v>
      </c>
      <c r="E151" t="n">
        <v>1089</v>
      </c>
      <c r="F151" t="n">
        <v>11</v>
      </c>
      <c r="G151" t="n">
        <v>0</v>
      </c>
      <c r="H151" t="n">
        <v>116</v>
      </c>
    </row>
    <row r="152">
      <c r="A152" t="inlineStr">
        <is>
          <t>buy100_medium_12</t>
        </is>
      </c>
      <c r="B152" t="n">
        <v>147</v>
      </c>
      <c r="C152" t="n">
        <v>250000</v>
      </c>
      <c r="D152" t="n">
        <v>6</v>
      </c>
      <c r="E152" t="n">
        <v>59.4</v>
      </c>
      <c r="F152" t="n">
        <v>0.6</v>
      </c>
      <c r="G152" t="n">
        <v>209548</v>
      </c>
      <c r="H152" t="n">
        <v>389084</v>
      </c>
    </row>
    <row r="153">
      <c r="A153" t="inlineStr">
        <is>
          <t>buy100_medium_12</t>
        </is>
      </c>
      <c r="B153" t="n">
        <v>148</v>
      </c>
      <c r="C153" t="n">
        <v>500000</v>
      </c>
      <c r="D153" t="n">
        <v>7</v>
      </c>
      <c r="E153" t="n">
        <v>29.7</v>
      </c>
      <c r="F153" t="n">
        <v>0.3</v>
      </c>
      <c r="G153" t="n">
        <v>389085</v>
      </c>
      <c r="H153" t="n">
        <v>610914</v>
      </c>
    </row>
    <row r="154">
      <c r="A154" t="inlineStr">
        <is>
          <t>buy100_medium_12</t>
        </is>
      </c>
      <c r="B154" t="n">
        <v>149</v>
      </c>
      <c r="C154" t="n">
        <v>750000</v>
      </c>
      <c r="D154" t="n">
        <v>8</v>
      </c>
      <c r="E154" t="n">
        <v>59.4</v>
      </c>
      <c r="F154" t="n">
        <v>0.6</v>
      </c>
      <c r="G154" t="n">
        <v>610915</v>
      </c>
      <c r="H154" t="n">
        <v>790451</v>
      </c>
    </row>
    <row r="155">
      <c r="A155" t="inlineStr">
        <is>
          <t>buy100_medium_12</t>
        </is>
      </c>
      <c r="B155" t="n">
        <v>150</v>
      </c>
      <c r="C155" t="n">
        <v>999999</v>
      </c>
      <c r="D155" t="n">
        <v>13</v>
      </c>
      <c r="E155" t="n">
        <v>3267</v>
      </c>
      <c r="F155" t="n">
        <v>33</v>
      </c>
      <c r="G155" t="n">
        <v>999999</v>
      </c>
      <c r="H155" t="n">
        <v>999999</v>
      </c>
    </row>
    <row r="156">
      <c r="A156" t="inlineStr">
        <is>
          <t>buy100_medium_13</t>
        </is>
      </c>
      <c r="B156" t="n">
        <v>151</v>
      </c>
      <c r="C156" t="n">
        <v>0</v>
      </c>
      <c r="D156" t="n">
        <v>2</v>
      </c>
      <c r="E156" t="n">
        <v>1287</v>
      </c>
      <c r="F156" t="n">
        <v>13</v>
      </c>
      <c r="G156" t="n">
        <v>0</v>
      </c>
      <c r="H156" t="n">
        <v>82</v>
      </c>
    </row>
    <row r="157">
      <c r="A157" t="inlineStr">
        <is>
          <t>buy100_medium_13</t>
        </is>
      </c>
      <c r="B157" t="n">
        <v>152</v>
      </c>
      <c r="C157" t="n">
        <v>250000</v>
      </c>
      <c r="D157" t="n">
        <v>6</v>
      </c>
      <c r="E157" t="n">
        <v>69.3</v>
      </c>
      <c r="F157" t="n">
        <v>0.7</v>
      </c>
      <c r="G157" t="n">
        <v>153480</v>
      </c>
      <c r="H157" t="n">
        <v>310843</v>
      </c>
    </row>
    <row r="158">
      <c r="A158" t="inlineStr">
        <is>
          <t>buy100_medium_13</t>
        </is>
      </c>
      <c r="B158" t="n">
        <v>153</v>
      </c>
      <c r="C158" t="n">
        <v>500000</v>
      </c>
      <c r="D158" t="n">
        <v>8</v>
      </c>
      <c r="E158" t="n">
        <v>39.6</v>
      </c>
      <c r="F158" t="n">
        <v>0.4</v>
      </c>
      <c r="G158" t="n">
        <v>500000</v>
      </c>
      <c r="H158" t="n">
        <v>689155</v>
      </c>
    </row>
    <row r="159">
      <c r="A159" t="inlineStr">
        <is>
          <t>buy100_medium_13</t>
        </is>
      </c>
      <c r="B159" t="n">
        <v>154</v>
      </c>
      <c r="C159" t="n">
        <v>750000</v>
      </c>
      <c r="D159" t="n">
        <v>9</v>
      </c>
      <c r="E159" t="n">
        <v>69.3</v>
      </c>
      <c r="F159" t="n">
        <v>0.7</v>
      </c>
      <c r="G159" t="n">
        <v>689156</v>
      </c>
      <c r="H159" t="n">
        <v>846518</v>
      </c>
    </row>
    <row r="160">
      <c r="A160" t="inlineStr">
        <is>
          <t>buy100_medium_13</t>
        </is>
      </c>
      <c r="B160" t="n">
        <v>155</v>
      </c>
      <c r="C160" t="n">
        <v>999999</v>
      </c>
      <c r="D160" t="n">
        <v>14</v>
      </c>
      <c r="E160" t="n">
        <v>4257</v>
      </c>
      <c r="F160" t="n">
        <v>43</v>
      </c>
      <c r="G160" t="n">
        <v>999999</v>
      </c>
      <c r="H160" t="n">
        <v>999999</v>
      </c>
    </row>
    <row r="161">
      <c r="A161" t="inlineStr">
        <is>
          <t>buy100_medium_14</t>
        </is>
      </c>
      <c r="B161" t="n">
        <v>156</v>
      </c>
      <c r="C161" t="n">
        <v>0</v>
      </c>
      <c r="D161" t="n">
        <v>2</v>
      </c>
      <c r="E161" t="n">
        <v>1485</v>
      </c>
      <c r="F161" t="n">
        <v>15</v>
      </c>
      <c r="G161" t="n">
        <v>0</v>
      </c>
      <c r="H161" t="n">
        <v>25</v>
      </c>
    </row>
    <row r="162">
      <c r="A162" t="inlineStr">
        <is>
          <t>buy100_medium_14</t>
        </is>
      </c>
      <c r="B162" t="n">
        <v>157</v>
      </c>
      <c r="C162" t="n">
        <v>250000</v>
      </c>
      <c r="D162" t="n">
        <v>7</v>
      </c>
      <c r="E162" t="n">
        <v>49.5</v>
      </c>
      <c r="F162" t="n">
        <v>0.5</v>
      </c>
      <c r="G162" t="n">
        <v>224800</v>
      </c>
      <c r="H162" t="n">
        <v>396838</v>
      </c>
    </row>
    <row r="163">
      <c r="A163" t="inlineStr">
        <is>
          <t>buy100_medium_14</t>
        </is>
      </c>
      <c r="B163" t="n">
        <v>158</v>
      </c>
      <c r="C163" t="n">
        <v>500000</v>
      </c>
      <c r="D163" t="n">
        <v>8</v>
      </c>
      <c r="E163" t="n">
        <v>19.8</v>
      </c>
      <c r="F163" t="n">
        <v>0.2</v>
      </c>
      <c r="G163" t="n">
        <v>396839</v>
      </c>
      <c r="H163" t="n">
        <v>603159</v>
      </c>
    </row>
    <row r="164">
      <c r="A164" t="inlineStr">
        <is>
          <t>buy100_medium_14</t>
        </is>
      </c>
      <c r="B164" t="n">
        <v>159</v>
      </c>
      <c r="C164" t="n">
        <v>750000</v>
      </c>
      <c r="D164" t="n">
        <v>9</v>
      </c>
      <c r="E164" t="n">
        <v>49.5</v>
      </c>
      <c r="F164" t="n">
        <v>0.5</v>
      </c>
      <c r="G164" t="n">
        <v>603160</v>
      </c>
      <c r="H164" t="n">
        <v>775198</v>
      </c>
    </row>
    <row r="165">
      <c r="A165" t="inlineStr">
        <is>
          <t>buy100_medium_14</t>
        </is>
      </c>
      <c r="B165" t="n">
        <v>160</v>
      </c>
      <c r="C165" t="n">
        <v>999999</v>
      </c>
      <c r="D165" t="n">
        <v>15</v>
      </c>
      <c r="E165" t="n">
        <v>5742</v>
      </c>
      <c r="F165" t="n">
        <v>58</v>
      </c>
      <c r="G165" t="n">
        <v>999999</v>
      </c>
      <c r="H165" t="n">
        <v>999999</v>
      </c>
    </row>
    <row r="166">
      <c r="A166" t="inlineStr">
        <is>
          <t>buy100_medium_15</t>
        </is>
      </c>
      <c r="B166" t="n">
        <v>161</v>
      </c>
      <c r="C166" t="n">
        <v>0</v>
      </c>
      <c r="D166" t="n">
        <v>2</v>
      </c>
      <c r="E166" t="n">
        <v>1782</v>
      </c>
      <c r="F166" t="n">
        <v>18</v>
      </c>
      <c r="G166" t="n">
        <v>0</v>
      </c>
      <c r="H166" t="n">
        <v>15</v>
      </c>
    </row>
    <row r="167">
      <c r="A167" t="inlineStr">
        <is>
          <t>buy100_medium_15</t>
        </is>
      </c>
      <c r="B167" t="n">
        <v>162</v>
      </c>
      <c r="C167" t="n">
        <v>250000</v>
      </c>
      <c r="D167" t="n">
        <v>7</v>
      </c>
      <c r="E167" t="n">
        <v>49.5</v>
      </c>
      <c r="F167" t="n">
        <v>0.5</v>
      </c>
      <c r="G167" t="n">
        <v>163346</v>
      </c>
      <c r="H167" t="n">
        <v>322839</v>
      </c>
    </row>
    <row r="168">
      <c r="A168" t="inlineStr">
        <is>
          <t>buy100_medium_15</t>
        </is>
      </c>
      <c r="B168" t="n">
        <v>163</v>
      </c>
      <c r="C168" t="n">
        <v>500000</v>
      </c>
      <c r="D168" t="n">
        <v>9</v>
      </c>
      <c r="E168" t="n">
        <v>29.7</v>
      </c>
      <c r="F168" t="n">
        <v>0.3</v>
      </c>
      <c r="G168" t="n">
        <v>500000</v>
      </c>
      <c r="H168" t="n">
        <v>677159</v>
      </c>
    </row>
    <row r="169">
      <c r="A169" t="inlineStr">
        <is>
          <t>buy100_medium_15</t>
        </is>
      </c>
      <c r="B169" t="n">
        <v>164</v>
      </c>
      <c r="C169" t="n">
        <v>750000</v>
      </c>
      <c r="D169" t="n">
        <v>10</v>
      </c>
      <c r="E169" t="n">
        <v>49.5</v>
      </c>
      <c r="F169" t="n">
        <v>0.5</v>
      </c>
      <c r="G169" t="n">
        <v>677160</v>
      </c>
      <c r="H169" t="n">
        <v>836653</v>
      </c>
    </row>
    <row r="170">
      <c r="A170" t="inlineStr">
        <is>
          <t>buy100_medium_15</t>
        </is>
      </c>
      <c r="B170" t="n">
        <v>165</v>
      </c>
      <c r="C170" t="n">
        <v>999999</v>
      </c>
      <c r="D170" t="n">
        <v>16</v>
      </c>
      <c r="E170" t="n">
        <v>8712</v>
      </c>
      <c r="F170" t="n">
        <v>88</v>
      </c>
      <c r="G170" t="n">
        <v>999999</v>
      </c>
      <c r="H170" t="n">
        <v>999999</v>
      </c>
    </row>
    <row r="171">
      <c r="A171" t="inlineStr">
        <is>
          <t>buy100_medium_16</t>
        </is>
      </c>
      <c r="B171" t="n">
        <v>166</v>
      </c>
      <c r="C171" t="n">
        <v>0</v>
      </c>
      <c r="D171" t="n">
        <v>3</v>
      </c>
      <c r="E171" t="n">
        <v>990</v>
      </c>
      <c r="F171" t="n">
        <v>10</v>
      </c>
      <c r="G171" t="n">
        <v>0</v>
      </c>
      <c r="H171" t="n">
        <v>220</v>
      </c>
    </row>
    <row r="172">
      <c r="A172" t="inlineStr">
        <is>
          <t>buy100_medium_16</t>
        </is>
      </c>
      <c r="B172" t="n">
        <v>167</v>
      </c>
      <c r="C172" t="n">
        <v>250000</v>
      </c>
      <c r="D172" t="n">
        <v>8</v>
      </c>
      <c r="E172" t="n">
        <v>49.5</v>
      </c>
      <c r="F172" t="n">
        <v>0.5</v>
      </c>
      <c r="G172" t="n">
        <v>237313</v>
      </c>
      <c r="H172" t="n">
        <v>404112</v>
      </c>
    </row>
    <row r="173">
      <c r="A173" t="inlineStr">
        <is>
          <t>buy100_medium_16</t>
        </is>
      </c>
      <c r="B173" t="n">
        <v>168</v>
      </c>
      <c r="C173" t="n">
        <v>500000</v>
      </c>
      <c r="D173" t="n">
        <v>9</v>
      </c>
      <c r="E173" t="n">
        <v>29.7</v>
      </c>
      <c r="F173" t="n">
        <v>0.3</v>
      </c>
      <c r="G173" t="n">
        <v>404113</v>
      </c>
      <c r="H173" t="n">
        <v>595886</v>
      </c>
    </row>
    <row r="174">
      <c r="A174" t="inlineStr">
        <is>
          <t>buy100_medium_16</t>
        </is>
      </c>
      <c r="B174" t="n">
        <v>169</v>
      </c>
      <c r="C174" t="n">
        <v>750000</v>
      </c>
      <c r="D174" t="n">
        <v>10</v>
      </c>
      <c r="E174" t="n">
        <v>49.5</v>
      </c>
      <c r="F174" t="n">
        <v>0.5</v>
      </c>
      <c r="G174" t="n">
        <v>595887</v>
      </c>
      <c r="H174" t="n">
        <v>762685</v>
      </c>
    </row>
    <row r="175">
      <c r="A175" t="inlineStr">
        <is>
          <t>buy100_medium_16</t>
        </is>
      </c>
      <c r="B175" t="n">
        <v>170</v>
      </c>
      <c r="C175" t="n">
        <v>999999</v>
      </c>
      <c r="D175" t="n">
        <v>17</v>
      </c>
      <c r="E175" t="n">
        <v>10890</v>
      </c>
      <c r="F175" t="n">
        <v>110</v>
      </c>
      <c r="G175" t="n">
        <v>999999</v>
      </c>
      <c r="H175" t="n">
        <v>999999</v>
      </c>
    </row>
    <row r="176">
      <c r="A176" t="inlineStr">
        <is>
          <t>buy100_medium_8</t>
        </is>
      </c>
      <c r="B176" t="n">
        <v>171</v>
      </c>
      <c r="C176" t="n">
        <v>0</v>
      </c>
      <c r="D176" t="n">
        <v>1</v>
      </c>
      <c r="E176" t="n">
        <v>1287</v>
      </c>
      <c r="F176" t="n">
        <v>13</v>
      </c>
      <c r="G176" t="n">
        <v>0</v>
      </c>
      <c r="H176" t="n">
        <v>27</v>
      </c>
    </row>
    <row r="177">
      <c r="A177" t="inlineStr">
        <is>
          <t>buy100_medium_8</t>
        </is>
      </c>
      <c r="B177" t="n">
        <v>172</v>
      </c>
      <c r="C177" t="n">
        <v>250000</v>
      </c>
      <c r="D177" t="n">
        <v>4</v>
      </c>
      <c r="E177" t="n">
        <v>69.3</v>
      </c>
      <c r="F177" t="n">
        <v>0.7</v>
      </c>
      <c r="G177" t="n">
        <v>170480</v>
      </c>
      <c r="H177" t="n">
        <v>373778</v>
      </c>
    </row>
    <row r="178">
      <c r="A178" t="inlineStr">
        <is>
          <t>buy100_medium_8</t>
        </is>
      </c>
      <c r="B178" t="n">
        <v>173</v>
      </c>
      <c r="C178" t="n">
        <v>500000</v>
      </c>
      <c r="D178" t="n">
        <v>5</v>
      </c>
      <c r="E178" t="n">
        <v>39.6</v>
      </c>
      <c r="F178" t="n">
        <v>0.4</v>
      </c>
      <c r="G178" t="n">
        <v>373779</v>
      </c>
      <c r="H178" t="n">
        <v>626247</v>
      </c>
    </row>
    <row r="179">
      <c r="A179" t="inlineStr">
        <is>
          <t>buy100_medium_8</t>
        </is>
      </c>
      <c r="B179" t="n">
        <v>174</v>
      </c>
      <c r="C179" t="n">
        <v>750000</v>
      </c>
      <c r="D179" t="n">
        <v>6</v>
      </c>
      <c r="E179" t="n">
        <v>69.3</v>
      </c>
      <c r="F179" t="n">
        <v>0.7</v>
      </c>
      <c r="G179" t="n">
        <v>626248</v>
      </c>
      <c r="H179" t="n">
        <v>829546</v>
      </c>
    </row>
    <row r="180">
      <c r="A180" t="inlineStr">
        <is>
          <t>buy100_medium_8</t>
        </is>
      </c>
      <c r="B180" t="n">
        <v>175</v>
      </c>
      <c r="C180" t="n">
        <v>999999</v>
      </c>
      <c r="D180" t="n">
        <v>9</v>
      </c>
      <c r="E180" t="n">
        <v>1287</v>
      </c>
      <c r="F180" t="n">
        <v>13</v>
      </c>
      <c r="G180" t="n">
        <v>999999</v>
      </c>
      <c r="H180" t="n">
        <v>999999</v>
      </c>
    </row>
    <row r="181">
      <c r="A181" t="inlineStr">
        <is>
          <t>buy100_medium_9</t>
        </is>
      </c>
      <c r="B181" t="n">
        <v>176</v>
      </c>
      <c r="C181" t="n">
        <v>0</v>
      </c>
      <c r="D181" t="n">
        <v>1</v>
      </c>
      <c r="E181" t="n">
        <v>1782</v>
      </c>
      <c r="F181" t="n">
        <v>18</v>
      </c>
      <c r="G181" t="n">
        <v>0</v>
      </c>
      <c r="H181" t="n">
        <v>0</v>
      </c>
    </row>
    <row r="182">
      <c r="A182" t="inlineStr">
        <is>
          <t>buy100_medium_9</t>
        </is>
      </c>
      <c r="B182" t="n">
        <v>177</v>
      </c>
      <c r="C182" t="n">
        <v>250000</v>
      </c>
      <c r="D182" t="n">
        <v>4</v>
      </c>
      <c r="E182" t="n">
        <v>89.09999999999999</v>
      </c>
      <c r="F182" t="n">
        <v>0.8999999999999999</v>
      </c>
      <c r="G182" t="n">
        <v>106246</v>
      </c>
      <c r="H182" t="n">
        <v>273261</v>
      </c>
    </row>
    <row r="183">
      <c r="A183" t="inlineStr">
        <is>
          <t>buy100_medium_9</t>
        </is>
      </c>
      <c r="B183" t="n">
        <v>178</v>
      </c>
      <c r="C183" t="n">
        <v>500000</v>
      </c>
      <c r="D183" t="n">
        <v>6</v>
      </c>
      <c r="E183" t="n">
        <v>49.5</v>
      </c>
      <c r="F183" t="n">
        <v>0.5</v>
      </c>
      <c r="G183" t="n">
        <v>500000</v>
      </c>
      <c r="H183" t="n">
        <v>726737</v>
      </c>
    </row>
    <row r="184">
      <c r="A184" t="inlineStr">
        <is>
          <t>buy100_medium_9</t>
        </is>
      </c>
      <c r="B184" t="n">
        <v>179</v>
      </c>
      <c r="C184" t="n">
        <v>750000</v>
      </c>
      <c r="D184" t="n">
        <v>7</v>
      </c>
      <c r="E184" t="n">
        <v>89.09999999999999</v>
      </c>
      <c r="F184" t="n">
        <v>0.8999999999999999</v>
      </c>
      <c r="G184" t="n">
        <v>726738</v>
      </c>
      <c r="H184" t="n">
        <v>893753</v>
      </c>
    </row>
    <row r="185">
      <c r="A185" t="inlineStr">
        <is>
          <t>buy100_medium_9</t>
        </is>
      </c>
      <c r="B185" t="n">
        <v>180</v>
      </c>
      <c r="C185" t="n">
        <v>999999</v>
      </c>
      <c r="D185" t="n">
        <v>10</v>
      </c>
      <c r="E185" t="n">
        <v>1782</v>
      </c>
      <c r="F185" t="n">
        <v>18</v>
      </c>
      <c r="G185" t="n">
        <v>999999</v>
      </c>
      <c r="H185" t="n">
        <v>999999</v>
      </c>
    </row>
    <row r="186">
      <c r="A186" t="inlineStr">
        <is>
          <t>normal_expert_10</t>
        </is>
      </c>
      <c r="B186" t="n">
        <v>181</v>
      </c>
      <c r="C186" t="n">
        <v>0</v>
      </c>
      <c r="D186" t="n">
        <v>3</v>
      </c>
      <c r="E186" t="n">
        <v>20</v>
      </c>
      <c r="F186" t="n">
        <v>20</v>
      </c>
      <c r="G186" t="n">
        <v>0</v>
      </c>
      <c r="H186" t="n">
        <v>16892</v>
      </c>
    </row>
    <row r="187">
      <c r="A187" t="inlineStr">
        <is>
          <t>normal_expert_10</t>
        </is>
      </c>
      <c r="B187" t="n">
        <v>182</v>
      </c>
      <c r="C187" t="n">
        <v>250000</v>
      </c>
      <c r="D187" t="n">
        <v>5</v>
      </c>
      <c r="E187" t="n">
        <v>0.1</v>
      </c>
      <c r="F187" t="n">
        <v>0.1</v>
      </c>
      <c r="G187" t="n">
        <v>203012</v>
      </c>
      <c r="H187" t="n">
        <v>401003</v>
      </c>
    </row>
    <row r="188">
      <c r="A188" t="inlineStr">
        <is>
          <t>normal_expert_10</t>
        </is>
      </c>
      <c r="B188" t="n">
        <v>183</v>
      </c>
      <c r="C188" t="n">
        <v>500000</v>
      </c>
      <c r="D188" t="n">
        <v>6</v>
      </c>
      <c r="E188" t="n">
        <v>0.1</v>
      </c>
      <c r="F188" t="n">
        <v>0.1</v>
      </c>
      <c r="G188" t="n">
        <v>401004</v>
      </c>
      <c r="H188" t="n">
        <v>598995</v>
      </c>
    </row>
    <row r="189">
      <c r="A189" t="inlineStr">
        <is>
          <t>normal_expert_10</t>
        </is>
      </c>
      <c r="B189" t="n">
        <v>184</v>
      </c>
      <c r="C189" t="n">
        <v>750000</v>
      </c>
      <c r="D189" t="n">
        <v>7</v>
      </c>
      <c r="E189" t="n">
        <v>0.1</v>
      </c>
      <c r="F189" t="n">
        <v>0.1</v>
      </c>
      <c r="G189" t="n">
        <v>598996</v>
      </c>
      <c r="H189" t="n">
        <v>796987</v>
      </c>
    </row>
    <row r="190">
      <c r="A190" t="inlineStr">
        <is>
          <t>normal_expert_10</t>
        </is>
      </c>
      <c r="B190" t="n">
        <v>185</v>
      </c>
      <c r="C190" t="n">
        <v>999999</v>
      </c>
      <c r="D190" t="n">
        <v>11</v>
      </c>
      <c r="E190" t="n">
        <v>2000</v>
      </c>
      <c r="F190" t="n">
        <v>2000</v>
      </c>
      <c r="G190" t="n">
        <v>999999</v>
      </c>
      <c r="H190" t="n">
        <v>999999</v>
      </c>
    </row>
    <row r="191">
      <c r="A191" t="inlineStr">
        <is>
          <t>normal_expert_11</t>
        </is>
      </c>
      <c r="B191" t="n">
        <v>186</v>
      </c>
      <c r="C191" t="n">
        <v>0</v>
      </c>
      <c r="D191" t="n">
        <v>3</v>
      </c>
      <c r="E191" t="n">
        <v>40</v>
      </c>
      <c r="F191" t="n">
        <v>40</v>
      </c>
      <c r="G191" t="n">
        <v>0</v>
      </c>
      <c r="H191" t="n">
        <v>6408</v>
      </c>
    </row>
    <row r="192">
      <c r="A192" t="inlineStr">
        <is>
          <t>normal_expert_11</t>
        </is>
      </c>
      <c r="B192" t="n">
        <v>187</v>
      </c>
      <c r="C192" t="n">
        <v>250000</v>
      </c>
      <c r="D192" t="n">
        <v>5</v>
      </c>
      <c r="E192" t="n">
        <v>0.2</v>
      </c>
      <c r="F192" t="n">
        <v>0.2</v>
      </c>
      <c r="G192" t="n">
        <v>162500</v>
      </c>
      <c r="H192" t="n">
        <v>330556</v>
      </c>
    </row>
    <row r="193">
      <c r="A193" t="inlineStr">
        <is>
          <t>normal_expert_11</t>
        </is>
      </c>
      <c r="B193" t="n">
        <v>188</v>
      </c>
      <c r="C193" t="n">
        <v>500000</v>
      </c>
      <c r="D193" t="n">
        <v>7</v>
      </c>
      <c r="E193" t="n">
        <v>0.1</v>
      </c>
      <c r="F193" t="n">
        <v>0.1</v>
      </c>
      <c r="G193" t="n">
        <v>500000</v>
      </c>
      <c r="H193" t="n">
        <v>669442</v>
      </c>
    </row>
    <row r="194">
      <c r="A194" t="inlineStr">
        <is>
          <t>normal_expert_11</t>
        </is>
      </c>
      <c r="B194" t="n">
        <v>189</v>
      </c>
      <c r="C194" t="n">
        <v>750000</v>
      </c>
      <c r="D194" t="n">
        <v>8</v>
      </c>
      <c r="E194" t="n">
        <v>0.2</v>
      </c>
      <c r="F194" t="n">
        <v>0.2</v>
      </c>
      <c r="G194" t="n">
        <v>669443</v>
      </c>
      <c r="H194" t="n">
        <v>837499</v>
      </c>
    </row>
    <row r="195">
      <c r="A195" t="inlineStr">
        <is>
          <t>normal_expert_11</t>
        </is>
      </c>
      <c r="B195" t="n">
        <v>190</v>
      </c>
      <c r="C195" t="n">
        <v>999999</v>
      </c>
      <c r="D195" t="n">
        <v>12</v>
      </c>
      <c r="E195" t="n">
        <v>3200</v>
      </c>
      <c r="F195" t="n">
        <v>3200</v>
      </c>
      <c r="G195" t="n">
        <v>999999</v>
      </c>
      <c r="H195" t="n">
        <v>999999</v>
      </c>
    </row>
    <row r="196">
      <c r="A196" t="inlineStr">
        <is>
          <t>normal_expert_12</t>
        </is>
      </c>
      <c r="B196" t="n">
        <v>191</v>
      </c>
      <c r="C196" t="n">
        <v>0</v>
      </c>
      <c r="D196" t="n">
        <v>3</v>
      </c>
      <c r="E196" t="n">
        <v>60</v>
      </c>
      <c r="F196" t="n">
        <v>60</v>
      </c>
      <c r="G196" t="n">
        <v>0</v>
      </c>
      <c r="H196" t="n">
        <v>3283</v>
      </c>
    </row>
    <row r="197">
      <c r="A197" t="inlineStr">
        <is>
          <t>normal_expert_12</t>
        </is>
      </c>
      <c r="B197" t="n">
        <v>192</v>
      </c>
      <c r="C197" t="n">
        <v>250000</v>
      </c>
      <c r="D197" t="n">
        <v>5</v>
      </c>
      <c r="E197" t="n">
        <v>0.4</v>
      </c>
      <c r="F197" t="n">
        <v>0.4</v>
      </c>
      <c r="G197" t="n">
        <v>137120</v>
      </c>
      <c r="H197" t="n">
        <v>280618</v>
      </c>
    </row>
    <row r="198">
      <c r="A198" t="inlineStr">
        <is>
          <t>normal_expert_12</t>
        </is>
      </c>
      <c r="B198" t="n">
        <v>193</v>
      </c>
      <c r="C198" t="n">
        <v>500000</v>
      </c>
      <c r="D198" t="n">
        <v>7</v>
      </c>
      <c r="E198" t="n">
        <v>0.1</v>
      </c>
      <c r="F198" t="n">
        <v>0.1</v>
      </c>
      <c r="G198" t="n">
        <v>426873</v>
      </c>
      <c r="H198" t="n">
        <v>573126</v>
      </c>
    </row>
    <row r="199">
      <c r="A199" t="inlineStr">
        <is>
          <t>normal_expert_12</t>
        </is>
      </c>
      <c r="B199" t="n">
        <v>194</v>
      </c>
      <c r="C199" t="n">
        <v>750000</v>
      </c>
      <c r="D199" t="n">
        <v>9</v>
      </c>
      <c r="E199" t="n">
        <v>0.4</v>
      </c>
      <c r="F199" t="n">
        <v>0.4</v>
      </c>
      <c r="G199" t="n">
        <v>719380</v>
      </c>
      <c r="H199" t="n">
        <v>862878</v>
      </c>
    </row>
    <row r="200">
      <c r="A200" t="inlineStr">
        <is>
          <t>normal_expert_12</t>
        </is>
      </c>
      <c r="B200" t="n">
        <v>195</v>
      </c>
      <c r="C200" t="n">
        <v>999999</v>
      </c>
      <c r="D200" t="n">
        <v>13</v>
      </c>
      <c r="E200" t="n">
        <v>6200</v>
      </c>
      <c r="F200" t="n">
        <v>6200</v>
      </c>
      <c r="G200" t="n">
        <v>999999</v>
      </c>
      <c r="H200" t="n">
        <v>999999</v>
      </c>
    </row>
    <row r="201">
      <c r="A201" t="inlineStr">
        <is>
          <t>normal_expert_13</t>
        </is>
      </c>
      <c r="B201" t="n">
        <v>196</v>
      </c>
      <c r="C201" t="n">
        <v>0</v>
      </c>
      <c r="D201" t="n">
        <v>3</v>
      </c>
      <c r="E201" t="n">
        <v>100</v>
      </c>
      <c r="F201" t="n">
        <v>100</v>
      </c>
      <c r="G201" t="n">
        <v>0</v>
      </c>
      <c r="H201" t="n">
        <v>406</v>
      </c>
    </row>
    <row r="202">
      <c r="A202" t="inlineStr">
        <is>
          <t>normal_expert_13</t>
        </is>
      </c>
      <c r="B202" t="n">
        <v>197</v>
      </c>
      <c r="C202" t="n">
        <v>250000</v>
      </c>
      <c r="D202" t="n">
        <v>6</v>
      </c>
      <c r="E202" t="n">
        <v>0.1</v>
      </c>
      <c r="F202" t="n">
        <v>0.1</v>
      </c>
      <c r="G202" t="n">
        <v>238244</v>
      </c>
      <c r="H202" t="n">
        <v>369121</v>
      </c>
    </row>
    <row r="203">
      <c r="A203" t="inlineStr">
        <is>
          <t>normal_expert_13</t>
        </is>
      </c>
      <c r="B203" t="n">
        <v>198</v>
      </c>
      <c r="C203" t="n">
        <v>500000</v>
      </c>
      <c r="D203" t="n">
        <v>8</v>
      </c>
      <c r="E203" t="n">
        <v>0.1</v>
      </c>
      <c r="F203" t="n">
        <v>0.1</v>
      </c>
      <c r="G203" t="n">
        <v>500000</v>
      </c>
      <c r="H203" t="n">
        <v>630877</v>
      </c>
    </row>
    <row r="204">
      <c r="A204" t="inlineStr">
        <is>
          <t>normal_expert_13</t>
        </is>
      </c>
      <c r="B204" t="n">
        <v>199</v>
      </c>
      <c r="C204" t="n">
        <v>750000</v>
      </c>
      <c r="D204" t="n">
        <v>9</v>
      </c>
      <c r="E204" t="n">
        <v>0.1</v>
      </c>
      <c r="F204" t="n">
        <v>0.1</v>
      </c>
      <c r="G204" t="n">
        <v>630878</v>
      </c>
      <c r="H204" t="n">
        <v>761755</v>
      </c>
    </row>
    <row r="205">
      <c r="A205" t="inlineStr">
        <is>
          <t>normal_expert_13</t>
        </is>
      </c>
      <c r="B205" t="n">
        <v>200</v>
      </c>
      <c r="C205" t="n">
        <v>999999</v>
      </c>
      <c r="D205" t="n">
        <v>14</v>
      </c>
      <c r="E205" t="n">
        <v>10000</v>
      </c>
      <c r="F205" t="n">
        <v>10000</v>
      </c>
      <c r="G205" t="n">
        <v>999999</v>
      </c>
      <c r="H205" t="n">
        <v>999999</v>
      </c>
    </row>
    <row r="206">
      <c r="A206" t="inlineStr">
        <is>
          <t>normal_expert_14</t>
        </is>
      </c>
      <c r="B206" t="n">
        <v>201</v>
      </c>
      <c r="C206" t="n">
        <v>0</v>
      </c>
      <c r="D206" t="n">
        <v>3</v>
      </c>
      <c r="E206" t="n">
        <v>160</v>
      </c>
      <c r="F206" t="n">
        <v>160</v>
      </c>
      <c r="G206" t="n">
        <v>0</v>
      </c>
      <c r="H206" t="n">
        <v>7</v>
      </c>
    </row>
    <row r="207">
      <c r="A207" t="inlineStr">
        <is>
          <t>normal_expert_14</t>
        </is>
      </c>
      <c r="B207" t="n">
        <v>202</v>
      </c>
      <c r="C207" t="n">
        <v>250000</v>
      </c>
      <c r="D207" t="n">
        <v>6</v>
      </c>
      <c r="E207" t="n">
        <v>0.2</v>
      </c>
      <c r="F207" t="n">
        <v>0.2</v>
      </c>
      <c r="G207" t="n">
        <v>207983</v>
      </c>
      <c r="H207" t="n">
        <v>324368</v>
      </c>
    </row>
    <row r="208">
      <c r="A208" t="inlineStr">
        <is>
          <t>normal_expert_14</t>
        </is>
      </c>
      <c r="B208" t="n">
        <v>203</v>
      </c>
      <c r="C208" t="n">
        <v>500000</v>
      </c>
      <c r="D208" t="n">
        <v>8</v>
      </c>
      <c r="E208" t="n">
        <v>0.1</v>
      </c>
      <c r="F208" t="n">
        <v>0.1</v>
      </c>
      <c r="G208" t="n">
        <v>441456</v>
      </c>
      <c r="H208" t="n">
        <v>558542</v>
      </c>
    </row>
    <row r="209">
      <c r="A209" t="inlineStr">
        <is>
          <t>normal_expert_14</t>
        </is>
      </c>
      <c r="B209" t="n">
        <v>204</v>
      </c>
      <c r="C209" t="n">
        <v>750000</v>
      </c>
      <c r="D209" t="n">
        <v>10</v>
      </c>
      <c r="E209" t="n">
        <v>0.2</v>
      </c>
      <c r="F209" t="n">
        <v>0.2</v>
      </c>
      <c r="G209" t="n">
        <v>675630</v>
      </c>
      <c r="H209" t="n">
        <v>792015</v>
      </c>
    </row>
    <row r="210">
      <c r="A210" t="inlineStr">
        <is>
          <t>normal_expert_14</t>
        </is>
      </c>
      <c r="B210" t="n">
        <v>205</v>
      </c>
      <c r="C210" t="n">
        <v>999999</v>
      </c>
      <c r="D210" t="n">
        <v>15</v>
      </c>
      <c r="E210" t="n">
        <v>23000</v>
      </c>
      <c r="F210" t="n">
        <v>23000</v>
      </c>
      <c r="G210" t="n">
        <v>999999</v>
      </c>
      <c r="H210" t="n">
        <v>999999</v>
      </c>
    </row>
    <row r="211">
      <c r="A211" t="inlineStr">
        <is>
          <t>normal_expert_15</t>
        </is>
      </c>
      <c r="B211" t="n">
        <v>206</v>
      </c>
      <c r="C211" t="n">
        <v>0</v>
      </c>
      <c r="D211" t="n">
        <v>4</v>
      </c>
      <c r="E211" t="n">
        <v>6</v>
      </c>
      <c r="F211" t="n">
        <v>6</v>
      </c>
      <c r="G211" t="n">
        <v>0</v>
      </c>
      <c r="H211" t="n">
        <v>40718</v>
      </c>
    </row>
    <row r="212">
      <c r="A212" t="inlineStr">
        <is>
          <t>normal_expert_15</t>
        </is>
      </c>
      <c r="B212" t="n">
        <v>207</v>
      </c>
      <c r="C212" t="n">
        <v>250000</v>
      </c>
      <c r="D212" t="n">
        <v>6</v>
      </c>
      <c r="E212" t="n">
        <v>0.2</v>
      </c>
      <c r="F212" t="n">
        <v>0.2</v>
      </c>
      <c r="G212" t="n">
        <v>130630</v>
      </c>
      <c r="H212" t="n">
        <v>252209</v>
      </c>
    </row>
    <row r="213">
      <c r="A213" t="inlineStr">
        <is>
          <t>normal_expert_15</t>
        </is>
      </c>
      <c r="B213" t="n">
        <v>208</v>
      </c>
      <c r="C213" t="n">
        <v>500000</v>
      </c>
      <c r="D213" t="n">
        <v>9</v>
      </c>
      <c r="E213" t="n">
        <v>0.1</v>
      </c>
      <c r="F213" t="n">
        <v>0.1</v>
      </c>
      <c r="G213" t="n">
        <v>500000</v>
      </c>
      <c r="H213" t="n">
        <v>623894</v>
      </c>
    </row>
    <row r="214">
      <c r="A214" t="inlineStr">
        <is>
          <t>normal_expert_15</t>
        </is>
      </c>
      <c r="B214" t="n">
        <v>209</v>
      </c>
      <c r="C214" t="n">
        <v>750000</v>
      </c>
      <c r="D214" t="n">
        <v>11</v>
      </c>
      <c r="E214" t="n">
        <v>0.2</v>
      </c>
      <c r="F214" t="n">
        <v>0.2</v>
      </c>
      <c r="G214" t="n">
        <v>747790</v>
      </c>
      <c r="H214" t="n">
        <v>869369</v>
      </c>
    </row>
    <row r="215">
      <c r="A215" t="inlineStr">
        <is>
          <t>normal_expert_15</t>
        </is>
      </c>
      <c r="B215" t="n">
        <v>210</v>
      </c>
      <c r="C215" t="n">
        <v>999999</v>
      </c>
      <c r="D215" t="n">
        <v>16</v>
      </c>
      <c r="E215" t="n">
        <v>50000</v>
      </c>
      <c r="F215" t="n">
        <v>50000</v>
      </c>
      <c r="G215" t="n">
        <v>999999</v>
      </c>
      <c r="H215" t="n">
        <v>999999</v>
      </c>
    </row>
    <row r="216">
      <c r="A216" t="inlineStr">
        <is>
          <t>normal_expert_16</t>
        </is>
      </c>
      <c r="B216" t="n">
        <v>211</v>
      </c>
      <c r="C216" t="n">
        <v>0</v>
      </c>
      <c r="D216" t="n">
        <v>4</v>
      </c>
      <c r="E216" t="n">
        <v>7</v>
      </c>
      <c r="F216" t="n">
        <v>7</v>
      </c>
      <c r="G216" t="n">
        <v>0</v>
      </c>
      <c r="H216" t="n">
        <v>18430</v>
      </c>
    </row>
    <row r="217">
      <c r="A217" t="inlineStr">
        <is>
          <t>normal_expert_16</t>
        </is>
      </c>
      <c r="B217" t="n">
        <v>212</v>
      </c>
      <c r="C217" t="n">
        <v>250000</v>
      </c>
      <c r="D217" t="n">
        <v>7</v>
      </c>
      <c r="E217" t="n">
        <v>0.1</v>
      </c>
      <c r="F217" t="n">
        <v>0.1</v>
      </c>
      <c r="G217" t="n">
        <v>180229</v>
      </c>
      <c r="H217" t="n">
        <v>308137</v>
      </c>
    </row>
    <row r="218">
      <c r="A218" t="inlineStr">
        <is>
          <t>normal_expert_16</t>
        </is>
      </c>
      <c r="B218" t="n">
        <v>213</v>
      </c>
      <c r="C218" t="n">
        <v>500000</v>
      </c>
      <c r="D218" t="n">
        <v>9</v>
      </c>
      <c r="E218" t="n">
        <v>0.1</v>
      </c>
      <c r="F218" t="n">
        <v>0.1</v>
      </c>
      <c r="G218" t="n">
        <v>436046</v>
      </c>
      <c r="H218" t="n">
        <v>563953</v>
      </c>
    </row>
    <row r="219">
      <c r="A219" t="inlineStr">
        <is>
          <t>normal_expert_16</t>
        </is>
      </c>
      <c r="B219" t="n">
        <v>214</v>
      </c>
      <c r="C219" t="n">
        <v>750000</v>
      </c>
      <c r="D219" t="n">
        <v>11</v>
      </c>
      <c r="E219" t="n">
        <v>0.1</v>
      </c>
      <c r="F219" t="n">
        <v>0.1</v>
      </c>
      <c r="G219" t="n">
        <v>691862</v>
      </c>
      <c r="H219" t="n">
        <v>819769</v>
      </c>
    </row>
    <row r="220">
      <c r="A220" t="inlineStr">
        <is>
          <t>normal_expert_16</t>
        </is>
      </c>
      <c r="B220" t="n">
        <v>215</v>
      </c>
      <c r="C220" t="n">
        <v>999999</v>
      </c>
      <c r="D220" t="n">
        <v>17</v>
      </c>
      <c r="E220" t="n">
        <v>100000</v>
      </c>
      <c r="F220" t="n">
        <v>100000</v>
      </c>
      <c r="G220" t="n">
        <v>999999</v>
      </c>
      <c r="H220" t="n">
        <v>999999</v>
      </c>
    </row>
    <row r="221">
      <c r="A221" t="inlineStr">
        <is>
          <t>normal_expert_8</t>
        </is>
      </c>
      <c r="B221" t="n">
        <v>216</v>
      </c>
      <c r="C221" t="n">
        <v>0</v>
      </c>
      <c r="D221" t="n">
        <v>2</v>
      </c>
      <c r="E221" t="n">
        <v>46</v>
      </c>
      <c r="F221" t="n">
        <v>46</v>
      </c>
      <c r="G221" t="n">
        <v>0</v>
      </c>
      <c r="H221" t="n">
        <v>52</v>
      </c>
    </row>
    <row r="222">
      <c r="A222" t="inlineStr">
        <is>
          <t>normal_expert_8</t>
        </is>
      </c>
      <c r="B222" t="n">
        <v>217</v>
      </c>
      <c r="C222" t="n">
        <v>250000</v>
      </c>
      <c r="D222" t="n">
        <v>4</v>
      </c>
      <c r="E222" t="n">
        <v>0.1</v>
      </c>
      <c r="F222" t="n">
        <v>0.1</v>
      </c>
      <c r="G222" t="n">
        <v>39280</v>
      </c>
      <c r="H222" t="n">
        <v>346426</v>
      </c>
    </row>
    <row r="223">
      <c r="A223" t="inlineStr">
        <is>
          <t>normal_expert_8</t>
        </is>
      </c>
      <c r="B223" t="n">
        <v>218</v>
      </c>
      <c r="C223" t="n">
        <v>500000</v>
      </c>
      <c r="D223" t="n">
        <v>5</v>
      </c>
      <c r="E223" t="n">
        <v>0.1</v>
      </c>
      <c r="F223" t="n">
        <v>0.1</v>
      </c>
      <c r="G223" t="n">
        <v>346427</v>
      </c>
      <c r="H223" t="n">
        <v>653572</v>
      </c>
    </row>
    <row r="224">
      <c r="A224" t="inlineStr">
        <is>
          <t>normal_expert_8</t>
        </is>
      </c>
      <c r="B224" t="n">
        <v>219</v>
      </c>
      <c r="C224" t="n">
        <v>750000</v>
      </c>
      <c r="D224" t="n">
        <v>6</v>
      </c>
      <c r="E224" t="n">
        <v>0.1</v>
      </c>
      <c r="F224" t="n">
        <v>0.1</v>
      </c>
      <c r="G224" t="n">
        <v>653573</v>
      </c>
      <c r="H224" t="n">
        <v>960718</v>
      </c>
    </row>
    <row r="225">
      <c r="A225" t="inlineStr">
        <is>
          <t>normal_expert_8</t>
        </is>
      </c>
      <c r="B225" t="n">
        <v>220</v>
      </c>
      <c r="C225" t="n">
        <v>999999</v>
      </c>
      <c r="D225" t="n">
        <v>9</v>
      </c>
      <c r="E225" t="n">
        <v>500</v>
      </c>
      <c r="F225" t="n">
        <v>500</v>
      </c>
      <c r="G225" t="n">
        <v>999999</v>
      </c>
      <c r="H225" t="n">
        <v>999999</v>
      </c>
    </row>
    <row r="226">
      <c r="A226" t="inlineStr">
        <is>
          <t>normal_expert_9</t>
        </is>
      </c>
      <c r="B226" t="n">
        <v>221</v>
      </c>
      <c r="C226" t="n">
        <v>0</v>
      </c>
      <c r="D226" t="n">
        <v>2</v>
      </c>
      <c r="E226" t="n">
        <v>78</v>
      </c>
      <c r="F226" t="n">
        <v>78</v>
      </c>
      <c r="G226" t="n">
        <v>0</v>
      </c>
      <c r="H226" t="n">
        <v>2</v>
      </c>
    </row>
    <row r="227">
      <c r="A227" t="inlineStr">
        <is>
          <t>normal_expert_9</t>
        </is>
      </c>
      <c r="B227" t="n">
        <v>222</v>
      </c>
      <c r="C227" t="n">
        <v>250000</v>
      </c>
      <c r="D227" t="n">
        <v>4</v>
      </c>
      <c r="E227" t="n">
        <v>0.2</v>
      </c>
      <c r="F227" t="n">
        <v>0.2</v>
      </c>
      <c r="G227" t="n">
        <v>27256</v>
      </c>
      <c r="H227" t="n">
        <v>261908</v>
      </c>
    </row>
    <row r="228">
      <c r="A228" t="inlineStr">
        <is>
          <t>normal_expert_9</t>
        </is>
      </c>
      <c r="B228" t="n">
        <v>223</v>
      </c>
      <c r="C228" t="n">
        <v>500000</v>
      </c>
      <c r="D228" t="n">
        <v>6</v>
      </c>
      <c r="E228" t="n">
        <v>0.1</v>
      </c>
      <c r="F228" t="n">
        <v>0.1</v>
      </c>
      <c r="G228" t="n">
        <v>500000</v>
      </c>
      <c r="H228" t="n">
        <v>738090</v>
      </c>
    </row>
    <row r="229">
      <c r="A229" t="inlineStr">
        <is>
          <t>normal_expert_9</t>
        </is>
      </c>
      <c r="B229" t="n">
        <v>224</v>
      </c>
      <c r="C229" t="n">
        <v>750000</v>
      </c>
      <c r="D229" t="n">
        <v>7</v>
      </c>
      <c r="E229" t="n">
        <v>0.2</v>
      </c>
      <c r="F229" t="n">
        <v>0.2</v>
      </c>
      <c r="G229" t="n">
        <v>738091</v>
      </c>
      <c r="H229" t="n">
        <v>972743</v>
      </c>
    </row>
    <row r="230">
      <c r="A230" t="inlineStr">
        <is>
          <t>normal_expert_9</t>
        </is>
      </c>
      <c r="B230" t="n">
        <v>225</v>
      </c>
      <c r="C230" t="n">
        <v>999999</v>
      </c>
      <c r="D230" t="n">
        <v>10</v>
      </c>
      <c r="E230" t="n">
        <v>1000</v>
      </c>
      <c r="F230" t="n">
        <v>1000</v>
      </c>
      <c r="G230" t="n">
        <v>999999</v>
      </c>
      <c r="H230" t="n">
        <v>999999</v>
      </c>
    </row>
    <row r="231">
      <c r="A231" t="inlineStr">
        <is>
          <t>normal_high_10</t>
        </is>
      </c>
      <c r="B231" t="n">
        <v>226</v>
      </c>
      <c r="C231" t="n">
        <v>0</v>
      </c>
      <c r="D231" t="n">
        <v>2</v>
      </c>
      <c r="E231" t="n">
        <v>10</v>
      </c>
      <c r="F231" t="n">
        <v>10</v>
      </c>
      <c r="G231" t="n">
        <v>0</v>
      </c>
      <c r="H231" t="n">
        <v>6174</v>
      </c>
    </row>
    <row r="232">
      <c r="A232" t="inlineStr">
        <is>
          <t>normal_high_10</t>
        </is>
      </c>
      <c r="B232" t="n">
        <v>227</v>
      </c>
      <c r="C232" t="n">
        <v>250000</v>
      </c>
      <c r="D232" t="n">
        <v>5</v>
      </c>
      <c r="E232" t="n">
        <v>0.3</v>
      </c>
      <c r="F232" t="n">
        <v>0.3</v>
      </c>
      <c r="G232" t="n">
        <v>224366</v>
      </c>
      <c r="H232" t="n">
        <v>405973</v>
      </c>
    </row>
    <row r="233">
      <c r="A233" t="inlineStr">
        <is>
          <t>normal_high_10</t>
        </is>
      </c>
      <c r="B233" t="n">
        <v>228</v>
      </c>
      <c r="C233" t="n">
        <v>500000</v>
      </c>
      <c r="D233" t="n">
        <v>6</v>
      </c>
      <c r="E233" t="n">
        <v>0.2</v>
      </c>
      <c r="F233" t="n">
        <v>0.2</v>
      </c>
      <c r="G233" t="n">
        <v>405974</v>
      </c>
      <c r="H233" t="n">
        <v>594024</v>
      </c>
    </row>
    <row r="234">
      <c r="A234" t="inlineStr">
        <is>
          <t>normal_high_10</t>
        </is>
      </c>
      <c r="B234" t="n">
        <v>229</v>
      </c>
      <c r="C234" t="n">
        <v>750000</v>
      </c>
      <c r="D234" t="n">
        <v>7</v>
      </c>
      <c r="E234" t="n">
        <v>0.3</v>
      </c>
      <c r="F234" t="n">
        <v>0.3</v>
      </c>
      <c r="G234" t="n">
        <v>594025</v>
      </c>
      <c r="H234" t="n">
        <v>775632</v>
      </c>
    </row>
    <row r="235">
      <c r="A235" t="inlineStr">
        <is>
          <t>normal_high_10</t>
        </is>
      </c>
      <c r="B235" t="n">
        <v>230</v>
      </c>
      <c r="C235" t="n">
        <v>999999</v>
      </c>
      <c r="D235" t="n">
        <v>11</v>
      </c>
      <c r="E235" t="n">
        <v>76</v>
      </c>
      <c r="F235" t="n">
        <v>76</v>
      </c>
      <c r="G235" t="n">
        <v>999999</v>
      </c>
      <c r="H235" t="n">
        <v>999999</v>
      </c>
    </row>
    <row r="236">
      <c r="A236" t="inlineStr">
        <is>
          <t>normal_high_11</t>
        </is>
      </c>
      <c r="B236" t="n">
        <v>231</v>
      </c>
      <c r="C236" t="n">
        <v>0</v>
      </c>
      <c r="D236" t="n">
        <v>2</v>
      </c>
      <c r="E236" t="n">
        <v>14</v>
      </c>
      <c r="F236" t="n">
        <v>14</v>
      </c>
      <c r="G236" t="n">
        <v>0</v>
      </c>
      <c r="H236" t="n">
        <v>2021</v>
      </c>
    </row>
    <row r="237">
      <c r="A237" t="inlineStr">
        <is>
          <t>normal_high_11</t>
        </is>
      </c>
      <c r="B237" t="n">
        <v>232</v>
      </c>
      <c r="C237" t="n">
        <v>250000</v>
      </c>
      <c r="D237" t="n">
        <v>5</v>
      </c>
      <c r="E237" t="n">
        <v>0.4</v>
      </c>
      <c r="F237" t="n">
        <v>0.4</v>
      </c>
      <c r="G237" t="n">
        <v>157039</v>
      </c>
      <c r="H237" t="n">
        <v>322963</v>
      </c>
    </row>
    <row r="238">
      <c r="A238" t="inlineStr">
        <is>
          <t>normal_high_11</t>
        </is>
      </c>
      <c r="B238" t="n">
        <v>233</v>
      </c>
      <c r="C238" t="n">
        <v>500000</v>
      </c>
      <c r="D238" t="n">
        <v>7</v>
      </c>
      <c r="E238" t="n">
        <v>0.2</v>
      </c>
      <c r="F238" t="n">
        <v>0.2</v>
      </c>
      <c r="G238" t="n">
        <v>500000</v>
      </c>
      <c r="H238" t="n">
        <v>677034</v>
      </c>
    </row>
    <row r="239">
      <c r="A239" t="inlineStr">
        <is>
          <t>normal_high_11</t>
        </is>
      </c>
      <c r="B239" t="n">
        <v>234</v>
      </c>
      <c r="C239" t="n">
        <v>750000</v>
      </c>
      <c r="D239" t="n">
        <v>8</v>
      </c>
      <c r="E239" t="n">
        <v>0.4</v>
      </c>
      <c r="F239" t="n">
        <v>0.4</v>
      </c>
      <c r="G239" t="n">
        <v>677035</v>
      </c>
      <c r="H239" t="n">
        <v>842959</v>
      </c>
    </row>
    <row r="240">
      <c r="A240" t="inlineStr">
        <is>
          <t>normal_high_11</t>
        </is>
      </c>
      <c r="B240" t="n">
        <v>235</v>
      </c>
      <c r="C240" t="n">
        <v>999999</v>
      </c>
      <c r="D240" t="n">
        <v>12</v>
      </c>
      <c r="E240" t="n">
        <v>120</v>
      </c>
      <c r="F240" t="n">
        <v>120</v>
      </c>
      <c r="G240" t="n">
        <v>999999</v>
      </c>
      <c r="H240" t="n">
        <v>999999</v>
      </c>
    </row>
    <row r="241">
      <c r="A241" t="inlineStr">
        <is>
          <t>normal_high_12</t>
        </is>
      </c>
      <c r="B241" t="n">
        <v>236</v>
      </c>
      <c r="C241" t="n">
        <v>0</v>
      </c>
      <c r="D241" t="n">
        <v>2</v>
      </c>
      <c r="E241" t="n">
        <v>24</v>
      </c>
      <c r="F241" t="n">
        <v>24</v>
      </c>
      <c r="G241" t="n">
        <v>0</v>
      </c>
      <c r="H241" t="n">
        <v>165</v>
      </c>
    </row>
    <row r="242">
      <c r="A242" t="inlineStr">
        <is>
          <t>normal_high_12</t>
        </is>
      </c>
      <c r="B242" t="n">
        <v>237</v>
      </c>
      <c r="C242" t="n">
        <v>250000</v>
      </c>
      <c r="D242" t="n">
        <v>5</v>
      </c>
      <c r="E242" t="n">
        <v>0.7</v>
      </c>
      <c r="F242" t="n">
        <v>0.7</v>
      </c>
      <c r="G242" t="n">
        <v>113728</v>
      </c>
      <c r="H242" t="n">
        <v>255029</v>
      </c>
    </row>
    <row r="243">
      <c r="A243" t="inlineStr">
        <is>
          <t>normal_high_12</t>
        </is>
      </c>
      <c r="B243" t="n">
        <v>238</v>
      </c>
      <c r="C243" t="n">
        <v>500000</v>
      </c>
      <c r="D243" t="n">
        <v>7</v>
      </c>
      <c r="E243" t="n">
        <v>0.2</v>
      </c>
      <c r="F243" t="n">
        <v>0.2</v>
      </c>
      <c r="G243" t="n">
        <v>418343</v>
      </c>
      <c r="H243" t="n">
        <v>581655</v>
      </c>
    </row>
    <row r="244">
      <c r="A244" t="inlineStr">
        <is>
          <t>normal_high_12</t>
        </is>
      </c>
      <c r="B244" t="n">
        <v>239</v>
      </c>
      <c r="C244" t="n">
        <v>750000</v>
      </c>
      <c r="D244" t="n">
        <v>9</v>
      </c>
      <c r="E244" t="n">
        <v>0.7</v>
      </c>
      <c r="F244" t="n">
        <v>0.7</v>
      </c>
      <c r="G244" t="n">
        <v>744969</v>
      </c>
      <c r="H244" t="n">
        <v>886270</v>
      </c>
    </row>
    <row r="245">
      <c r="A245" t="inlineStr">
        <is>
          <t>normal_high_12</t>
        </is>
      </c>
      <c r="B245" t="n">
        <v>240</v>
      </c>
      <c r="C245" t="n">
        <v>999999</v>
      </c>
      <c r="D245" t="n">
        <v>13</v>
      </c>
      <c r="E245" t="n">
        <v>170</v>
      </c>
      <c r="F245" t="n">
        <v>170</v>
      </c>
      <c r="G245" t="n">
        <v>999999</v>
      </c>
      <c r="H245" t="n">
        <v>999999</v>
      </c>
    </row>
    <row r="246">
      <c r="A246" t="inlineStr">
        <is>
          <t>normal_high_13</t>
        </is>
      </c>
      <c r="B246" t="n">
        <v>241</v>
      </c>
      <c r="C246" t="n">
        <v>0</v>
      </c>
      <c r="D246" t="n">
        <v>2</v>
      </c>
      <c r="E246" t="n">
        <v>37</v>
      </c>
      <c r="F246" t="n">
        <v>37</v>
      </c>
      <c r="G246" t="n">
        <v>0</v>
      </c>
      <c r="H246" t="n">
        <v>3</v>
      </c>
    </row>
    <row r="247">
      <c r="A247" t="inlineStr">
        <is>
          <t>normal_high_13</t>
        </is>
      </c>
      <c r="B247" t="n">
        <v>242</v>
      </c>
      <c r="C247" t="n">
        <v>250000</v>
      </c>
      <c r="D247" t="n">
        <v>6</v>
      </c>
      <c r="E247" t="n">
        <v>0.2</v>
      </c>
      <c r="F247" t="n">
        <v>0.2</v>
      </c>
      <c r="G247" t="n">
        <v>185512</v>
      </c>
      <c r="H247" t="n">
        <v>342755</v>
      </c>
    </row>
    <row r="248">
      <c r="A248" t="inlineStr">
        <is>
          <t>normal_high_13</t>
        </is>
      </c>
      <c r="B248" t="n">
        <v>243</v>
      </c>
      <c r="C248" t="n">
        <v>500000</v>
      </c>
      <c r="D248" t="n">
        <v>8</v>
      </c>
      <c r="E248" t="n">
        <v>0.2</v>
      </c>
      <c r="F248" t="n">
        <v>0.2</v>
      </c>
      <c r="G248" t="n">
        <v>500000</v>
      </c>
      <c r="H248" t="n">
        <v>657243</v>
      </c>
    </row>
    <row r="249">
      <c r="A249" t="inlineStr">
        <is>
          <t>normal_high_13</t>
        </is>
      </c>
      <c r="B249" t="n">
        <v>244</v>
      </c>
      <c r="C249" t="n">
        <v>750000</v>
      </c>
      <c r="D249" t="n">
        <v>9</v>
      </c>
      <c r="E249" t="n">
        <v>0.2</v>
      </c>
      <c r="F249" t="n">
        <v>0.2</v>
      </c>
      <c r="G249" t="n">
        <v>657244</v>
      </c>
      <c r="H249" t="n">
        <v>814486</v>
      </c>
    </row>
    <row r="250">
      <c r="A250" t="inlineStr">
        <is>
          <t>normal_high_13</t>
        </is>
      </c>
      <c r="B250" t="n">
        <v>245</v>
      </c>
      <c r="C250" t="n">
        <v>999999</v>
      </c>
      <c r="D250" t="n">
        <v>14</v>
      </c>
      <c r="E250" t="n">
        <v>260</v>
      </c>
      <c r="F250" t="n">
        <v>260</v>
      </c>
      <c r="G250" t="n">
        <v>999999</v>
      </c>
      <c r="H250" t="n">
        <v>999999</v>
      </c>
    </row>
    <row r="251">
      <c r="A251" t="inlineStr">
        <is>
          <t>normal_high_14</t>
        </is>
      </c>
      <c r="B251" t="n">
        <v>246</v>
      </c>
      <c r="C251" t="n">
        <v>0</v>
      </c>
      <c r="D251" t="n">
        <v>3</v>
      </c>
      <c r="E251" t="n">
        <v>18</v>
      </c>
      <c r="F251" t="n">
        <v>18</v>
      </c>
      <c r="G251" t="n">
        <v>0</v>
      </c>
      <c r="H251" t="n">
        <v>1078</v>
      </c>
    </row>
    <row r="252">
      <c r="A252" t="inlineStr">
        <is>
          <t>normal_high_14</t>
        </is>
      </c>
      <c r="B252" t="n">
        <v>247</v>
      </c>
      <c r="C252" t="n">
        <v>250000</v>
      </c>
      <c r="D252" t="n">
        <v>6</v>
      </c>
      <c r="E252" t="n">
        <v>0.3</v>
      </c>
      <c r="F252" t="n">
        <v>0.3</v>
      </c>
      <c r="G252" t="n">
        <v>133121</v>
      </c>
      <c r="H252" t="n">
        <v>277443</v>
      </c>
    </row>
    <row r="253">
      <c r="A253" t="inlineStr">
        <is>
          <t>normal_high_14</t>
        </is>
      </c>
      <c r="B253" t="n">
        <v>248</v>
      </c>
      <c r="C253" t="n">
        <v>500000</v>
      </c>
      <c r="D253" t="n">
        <v>8</v>
      </c>
      <c r="E253" t="n">
        <v>0.2</v>
      </c>
      <c r="F253" t="n">
        <v>0.2</v>
      </c>
      <c r="G253" t="n">
        <v>425815</v>
      </c>
      <c r="H253" t="n">
        <v>574184</v>
      </c>
    </row>
    <row r="254">
      <c r="A254" t="inlineStr">
        <is>
          <t>normal_high_14</t>
        </is>
      </c>
      <c r="B254" t="n">
        <v>249</v>
      </c>
      <c r="C254" t="n">
        <v>750000</v>
      </c>
      <c r="D254" t="n">
        <v>10</v>
      </c>
      <c r="E254" t="n">
        <v>0.3</v>
      </c>
      <c r="F254" t="n">
        <v>0.3</v>
      </c>
      <c r="G254" t="n">
        <v>722555</v>
      </c>
      <c r="H254" t="n">
        <v>866877</v>
      </c>
    </row>
    <row r="255">
      <c r="A255" t="inlineStr">
        <is>
          <t>normal_high_14</t>
        </is>
      </c>
      <c r="B255" t="n">
        <v>250</v>
      </c>
      <c r="C255" t="n">
        <v>999999</v>
      </c>
      <c r="D255" t="n">
        <v>15</v>
      </c>
      <c r="E255" t="n">
        <v>420</v>
      </c>
      <c r="F255" t="n">
        <v>420</v>
      </c>
      <c r="G255" t="n">
        <v>999999</v>
      </c>
      <c r="H255" t="n">
        <v>999999</v>
      </c>
    </row>
    <row r="256">
      <c r="A256" t="inlineStr">
        <is>
          <t>normal_high_15</t>
        </is>
      </c>
      <c r="B256" t="n">
        <v>251</v>
      </c>
      <c r="C256" t="n">
        <v>0</v>
      </c>
      <c r="D256" t="n">
        <v>3</v>
      </c>
      <c r="E256" t="n">
        <v>27</v>
      </c>
      <c r="F256" t="n">
        <v>27</v>
      </c>
      <c r="G256" t="n">
        <v>0</v>
      </c>
      <c r="H256" t="n">
        <v>135</v>
      </c>
    </row>
    <row r="257">
      <c r="A257" t="inlineStr">
        <is>
          <t>normal_high_15</t>
        </is>
      </c>
      <c r="B257" t="n">
        <v>252</v>
      </c>
      <c r="C257" t="n">
        <v>250000</v>
      </c>
      <c r="D257" t="n">
        <v>7</v>
      </c>
      <c r="E257" t="n">
        <v>0.2</v>
      </c>
      <c r="F257" t="n">
        <v>0.2</v>
      </c>
      <c r="G257" t="n">
        <v>217728</v>
      </c>
      <c r="H257" t="n">
        <v>358863</v>
      </c>
    </row>
    <row r="258">
      <c r="A258" t="inlineStr">
        <is>
          <t>normal_high_15</t>
        </is>
      </c>
      <c r="B258" t="n">
        <v>253</v>
      </c>
      <c r="C258" t="n">
        <v>500000</v>
      </c>
      <c r="D258" t="n">
        <v>9</v>
      </c>
      <c r="E258" t="n">
        <v>0.2</v>
      </c>
      <c r="F258" t="n">
        <v>0.2</v>
      </c>
      <c r="G258" t="n">
        <v>500000</v>
      </c>
      <c r="H258" t="n">
        <v>641135</v>
      </c>
    </row>
    <row r="259">
      <c r="A259" t="inlineStr">
        <is>
          <t>normal_high_15</t>
        </is>
      </c>
      <c r="B259" t="n">
        <v>254</v>
      </c>
      <c r="C259" t="n">
        <v>750000</v>
      </c>
      <c r="D259" t="n">
        <v>10</v>
      </c>
      <c r="E259" t="n">
        <v>0.2</v>
      </c>
      <c r="F259" t="n">
        <v>0.2</v>
      </c>
      <c r="G259" t="n">
        <v>641136</v>
      </c>
      <c r="H259" t="n">
        <v>782271</v>
      </c>
    </row>
    <row r="260">
      <c r="A260" t="inlineStr">
        <is>
          <t>normal_high_15</t>
        </is>
      </c>
      <c r="B260" t="n">
        <v>255</v>
      </c>
      <c r="C260" t="n">
        <v>999999</v>
      </c>
      <c r="D260" t="n">
        <v>16</v>
      </c>
      <c r="E260" t="n">
        <v>620</v>
      </c>
      <c r="F260" t="n">
        <v>620</v>
      </c>
      <c r="G260" t="n">
        <v>999999</v>
      </c>
      <c r="H260" t="n">
        <v>999999</v>
      </c>
    </row>
    <row r="261">
      <c r="A261" t="inlineStr">
        <is>
          <t>normal_high_16</t>
        </is>
      </c>
      <c r="B261" t="n">
        <v>256</v>
      </c>
      <c r="C261" t="n">
        <v>0</v>
      </c>
      <c r="D261" t="n">
        <v>3</v>
      </c>
      <c r="E261" t="n">
        <v>26</v>
      </c>
      <c r="F261" t="n">
        <v>26</v>
      </c>
      <c r="G261" t="n">
        <v>0</v>
      </c>
      <c r="H261" t="n">
        <v>30</v>
      </c>
    </row>
    <row r="262">
      <c r="A262" t="inlineStr">
        <is>
          <t>normal_high_16</t>
        </is>
      </c>
      <c r="B262" t="n">
        <v>257</v>
      </c>
      <c r="C262" t="n">
        <v>250000</v>
      </c>
      <c r="D262" t="n">
        <v>7</v>
      </c>
      <c r="E262" t="n">
        <v>0.2</v>
      </c>
      <c r="F262" t="n">
        <v>0.2</v>
      </c>
      <c r="G262" t="n">
        <v>131904</v>
      </c>
      <c r="H262" t="n">
        <v>279142</v>
      </c>
    </row>
    <row r="263">
      <c r="A263" t="inlineStr">
        <is>
          <t>normal_high_16</t>
        </is>
      </c>
      <c r="B263" t="n">
        <v>258</v>
      </c>
      <c r="C263" t="n">
        <v>500000</v>
      </c>
      <c r="D263" t="n">
        <v>9</v>
      </c>
      <c r="E263" t="n">
        <v>0.2</v>
      </c>
      <c r="F263" t="n">
        <v>0.2</v>
      </c>
      <c r="G263" t="n">
        <v>426381</v>
      </c>
      <c r="H263" t="n">
        <v>573618</v>
      </c>
    </row>
    <row r="264">
      <c r="A264" t="inlineStr">
        <is>
          <t>normal_high_16</t>
        </is>
      </c>
      <c r="B264" t="n">
        <v>259</v>
      </c>
      <c r="C264" t="n">
        <v>750000</v>
      </c>
      <c r="D264" t="n">
        <v>11</v>
      </c>
      <c r="E264" t="n">
        <v>0.2</v>
      </c>
      <c r="F264" t="n">
        <v>0.2</v>
      </c>
      <c r="G264" t="n">
        <v>720857</v>
      </c>
      <c r="H264" t="n">
        <v>868094</v>
      </c>
    </row>
    <row r="265">
      <c r="A265" t="inlineStr">
        <is>
          <t>normal_high_16</t>
        </is>
      </c>
      <c r="B265" t="n">
        <v>260</v>
      </c>
      <c r="C265" t="n">
        <v>999999</v>
      </c>
      <c r="D265" t="n">
        <v>17</v>
      </c>
      <c r="E265" t="n">
        <v>1000</v>
      </c>
      <c r="F265" t="n">
        <v>1000</v>
      </c>
      <c r="G265" t="n">
        <v>999999</v>
      </c>
      <c r="H265" t="n">
        <v>999999</v>
      </c>
    </row>
    <row r="266">
      <c r="A266" t="inlineStr">
        <is>
          <t>normal_high_8</t>
        </is>
      </c>
      <c r="B266" t="n">
        <v>261</v>
      </c>
      <c r="C266" t="n">
        <v>0</v>
      </c>
      <c r="D266" t="n">
        <v>1</v>
      </c>
      <c r="E266" t="n">
        <v>29</v>
      </c>
      <c r="F266" t="n">
        <v>29</v>
      </c>
      <c r="G266" t="n">
        <v>0</v>
      </c>
      <c r="H266" t="n">
        <v>2</v>
      </c>
    </row>
    <row r="267">
      <c r="A267" t="inlineStr">
        <is>
          <t>normal_high_8</t>
        </is>
      </c>
      <c r="B267" t="n">
        <v>262</v>
      </c>
      <c r="C267" t="n">
        <v>250000</v>
      </c>
      <c r="D267" t="n">
        <v>4</v>
      </c>
      <c r="E267" t="n">
        <v>0.3</v>
      </c>
      <c r="F267" t="n">
        <v>0.3</v>
      </c>
      <c r="G267" t="n">
        <v>180998</v>
      </c>
      <c r="H267" t="n">
        <v>390883</v>
      </c>
    </row>
    <row r="268">
      <c r="A268" t="inlineStr">
        <is>
          <t>normal_high_8</t>
        </is>
      </c>
      <c r="B268" t="n">
        <v>263</v>
      </c>
      <c r="C268" t="n">
        <v>500000</v>
      </c>
      <c r="D268" t="n">
        <v>5</v>
      </c>
      <c r="E268" t="n">
        <v>0.2</v>
      </c>
      <c r="F268" t="n">
        <v>0.2</v>
      </c>
      <c r="G268" t="n">
        <v>390884</v>
      </c>
      <c r="H268" t="n">
        <v>609117</v>
      </c>
    </row>
    <row r="269">
      <c r="A269" t="inlineStr">
        <is>
          <t>normal_high_8</t>
        </is>
      </c>
      <c r="B269" t="n">
        <v>264</v>
      </c>
      <c r="C269" t="n">
        <v>750000</v>
      </c>
      <c r="D269" t="n">
        <v>6</v>
      </c>
      <c r="E269" t="n">
        <v>0.3</v>
      </c>
      <c r="F269" t="n">
        <v>0.3</v>
      </c>
      <c r="G269" t="n">
        <v>609118</v>
      </c>
      <c r="H269" t="n">
        <v>819003</v>
      </c>
    </row>
    <row r="270">
      <c r="A270" t="inlineStr">
        <is>
          <t>normal_high_8</t>
        </is>
      </c>
      <c r="B270" t="n">
        <v>265</v>
      </c>
      <c r="C270" t="n">
        <v>999999</v>
      </c>
      <c r="D270" t="n">
        <v>9</v>
      </c>
      <c r="E270" t="n">
        <v>29</v>
      </c>
      <c r="F270" t="n">
        <v>29</v>
      </c>
      <c r="G270" t="n">
        <v>999999</v>
      </c>
      <c r="H270" t="n">
        <v>999999</v>
      </c>
    </row>
    <row r="271">
      <c r="A271" t="inlineStr">
        <is>
          <t>normal_high_9</t>
        </is>
      </c>
      <c r="B271" t="n">
        <v>266</v>
      </c>
      <c r="C271" t="n">
        <v>0</v>
      </c>
      <c r="D271" t="n">
        <v>2</v>
      </c>
      <c r="E271" t="n">
        <v>7</v>
      </c>
      <c r="F271" t="n">
        <v>7</v>
      </c>
      <c r="G271" t="n">
        <v>0</v>
      </c>
      <c r="H271" t="n">
        <v>17621</v>
      </c>
    </row>
    <row r="272">
      <c r="A272" t="inlineStr">
        <is>
          <t>normal_high_9</t>
        </is>
      </c>
      <c r="B272" t="n">
        <v>267</v>
      </c>
      <c r="C272" t="n">
        <v>250000</v>
      </c>
      <c r="D272" t="n">
        <v>4</v>
      </c>
      <c r="E272" t="n">
        <v>0.6</v>
      </c>
      <c r="F272" t="n">
        <v>0.6</v>
      </c>
      <c r="G272" t="n">
        <v>123442</v>
      </c>
      <c r="H272" t="n">
        <v>298243</v>
      </c>
    </row>
    <row r="273">
      <c r="A273" t="inlineStr">
        <is>
          <t>normal_high_9</t>
        </is>
      </c>
      <c r="B273" t="n">
        <v>268</v>
      </c>
      <c r="C273" t="n">
        <v>500000</v>
      </c>
      <c r="D273" t="n">
        <v>6</v>
      </c>
      <c r="E273" t="n">
        <v>0.2</v>
      </c>
      <c r="F273" t="n">
        <v>0.2</v>
      </c>
      <c r="G273" t="n">
        <v>500000</v>
      </c>
      <c r="H273" t="n">
        <v>701755</v>
      </c>
    </row>
    <row r="274">
      <c r="A274" t="inlineStr">
        <is>
          <t>normal_high_9</t>
        </is>
      </c>
      <c r="B274" t="n">
        <v>269</v>
      </c>
      <c r="C274" t="n">
        <v>750000</v>
      </c>
      <c r="D274" t="n">
        <v>7</v>
      </c>
      <c r="E274" t="n">
        <v>0.6</v>
      </c>
      <c r="F274" t="n">
        <v>0.6</v>
      </c>
      <c r="G274" t="n">
        <v>701756</v>
      </c>
      <c r="H274" t="n">
        <v>876557</v>
      </c>
    </row>
    <row r="275">
      <c r="A275" t="inlineStr">
        <is>
          <t>normal_high_9</t>
        </is>
      </c>
      <c r="B275" t="n">
        <v>270</v>
      </c>
      <c r="C275" t="n">
        <v>999999</v>
      </c>
      <c r="D275" t="n">
        <v>10</v>
      </c>
      <c r="E275" t="n">
        <v>43</v>
      </c>
      <c r="F275" t="n">
        <v>43</v>
      </c>
      <c r="G275" t="n">
        <v>999999</v>
      </c>
      <c r="H275" t="n">
        <v>999999</v>
      </c>
    </row>
    <row r="276">
      <c r="A276" t="inlineStr">
        <is>
          <t>normal_low_10</t>
        </is>
      </c>
      <c r="B276" t="n">
        <v>271</v>
      </c>
      <c r="C276" t="n">
        <v>0</v>
      </c>
      <c r="D276" t="n">
        <v>1</v>
      </c>
      <c r="E276" t="n">
        <v>8.9</v>
      </c>
      <c r="F276" t="n">
        <v>8.9</v>
      </c>
      <c r="G276" t="n">
        <v>0</v>
      </c>
      <c r="H276" t="n">
        <v>0</v>
      </c>
    </row>
    <row r="277">
      <c r="A277" t="inlineStr">
        <is>
          <t>normal_low_10</t>
        </is>
      </c>
      <c r="B277" t="n">
        <v>272</v>
      </c>
      <c r="C277" t="n">
        <v>250000</v>
      </c>
      <c r="D277" t="n">
        <v>5</v>
      </c>
      <c r="E277" t="n">
        <v>1</v>
      </c>
      <c r="F277" t="n">
        <v>1</v>
      </c>
      <c r="G277" t="n">
        <v>205665</v>
      </c>
      <c r="H277" t="n">
        <v>347654</v>
      </c>
    </row>
    <row r="278">
      <c r="A278" t="inlineStr">
        <is>
          <t>normal_low_10</t>
        </is>
      </c>
      <c r="B278" t="n">
        <v>273</v>
      </c>
      <c r="C278" t="n">
        <v>500000</v>
      </c>
      <c r="D278" t="n">
        <v>6</v>
      </c>
      <c r="E278" t="n">
        <v>0.5</v>
      </c>
      <c r="F278" t="n">
        <v>0.5</v>
      </c>
      <c r="G278" t="n">
        <v>347655</v>
      </c>
      <c r="H278" t="n">
        <v>652345</v>
      </c>
    </row>
    <row r="279">
      <c r="A279" t="inlineStr">
        <is>
          <t>normal_low_10</t>
        </is>
      </c>
      <c r="B279" t="n">
        <v>274</v>
      </c>
      <c r="C279" t="n">
        <v>750000</v>
      </c>
      <c r="D279" t="n">
        <v>7</v>
      </c>
      <c r="E279" t="n">
        <v>1</v>
      </c>
      <c r="F279" t="n">
        <v>1</v>
      </c>
      <c r="G279" t="n">
        <v>652346</v>
      </c>
      <c r="H279" t="n">
        <v>794335</v>
      </c>
    </row>
    <row r="280">
      <c r="A280" t="inlineStr">
        <is>
          <t>normal_low_10</t>
        </is>
      </c>
      <c r="B280" t="n">
        <v>275</v>
      </c>
      <c r="C280" t="n">
        <v>999999</v>
      </c>
      <c r="D280" t="n">
        <v>11</v>
      </c>
      <c r="E280" t="n">
        <v>8.9</v>
      </c>
      <c r="F280" t="n">
        <v>8.9</v>
      </c>
      <c r="G280" t="n">
        <v>999999</v>
      </c>
      <c r="H280" t="n">
        <v>999999</v>
      </c>
    </row>
    <row r="281">
      <c r="A281" t="inlineStr">
        <is>
          <t>normal_low_11</t>
        </is>
      </c>
      <c r="B281" t="n">
        <v>276</v>
      </c>
      <c r="C281" t="n">
        <v>0</v>
      </c>
      <c r="D281" t="n">
        <v>2</v>
      </c>
      <c r="E281" t="n">
        <v>3</v>
      </c>
      <c r="F281" t="n">
        <v>3</v>
      </c>
      <c r="G281" t="n">
        <v>0</v>
      </c>
      <c r="H281" t="n">
        <v>3365</v>
      </c>
    </row>
    <row r="282">
      <c r="A282" t="inlineStr">
        <is>
          <t>normal_low_11</t>
        </is>
      </c>
      <c r="B282" t="n">
        <v>277</v>
      </c>
      <c r="C282" t="n">
        <v>250000</v>
      </c>
      <c r="D282" t="n">
        <v>5</v>
      </c>
      <c r="E282" t="n">
        <v>1</v>
      </c>
      <c r="F282" t="n">
        <v>1</v>
      </c>
      <c r="G282" t="n">
        <v>110459</v>
      </c>
      <c r="H282" t="n">
        <v>251998</v>
      </c>
    </row>
    <row r="283">
      <c r="A283" t="inlineStr">
        <is>
          <t>normal_low_11</t>
        </is>
      </c>
      <c r="B283" t="n">
        <v>278</v>
      </c>
      <c r="C283" t="n">
        <v>500000</v>
      </c>
      <c r="D283" t="n">
        <v>7</v>
      </c>
      <c r="E283" t="n">
        <v>0.7</v>
      </c>
      <c r="F283" t="n">
        <v>0.7</v>
      </c>
      <c r="G283" t="n">
        <v>500000</v>
      </c>
      <c r="H283" t="n">
        <v>748000</v>
      </c>
    </row>
    <row r="284">
      <c r="A284" t="inlineStr">
        <is>
          <t>normal_low_11</t>
        </is>
      </c>
      <c r="B284" t="n">
        <v>279</v>
      </c>
      <c r="C284" t="n">
        <v>750000</v>
      </c>
      <c r="D284" t="n">
        <v>8</v>
      </c>
      <c r="E284" t="n">
        <v>1</v>
      </c>
      <c r="F284" t="n">
        <v>1</v>
      </c>
      <c r="G284" t="n">
        <v>748001</v>
      </c>
      <c r="H284" t="n">
        <v>889540</v>
      </c>
    </row>
    <row r="285">
      <c r="A285" t="inlineStr">
        <is>
          <t>normal_low_11</t>
        </is>
      </c>
      <c r="B285" t="n">
        <v>280</v>
      </c>
      <c r="C285" t="n">
        <v>999999</v>
      </c>
      <c r="D285" t="n">
        <v>12</v>
      </c>
      <c r="E285" t="n">
        <v>8.4</v>
      </c>
      <c r="F285" t="n">
        <v>8.4</v>
      </c>
      <c r="G285" t="n">
        <v>999999</v>
      </c>
      <c r="H285" t="n">
        <v>999999</v>
      </c>
    </row>
    <row r="286">
      <c r="A286" t="inlineStr">
        <is>
          <t>normal_low_12</t>
        </is>
      </c>
      <c r="B286" t="n">
        <v>281</v>
      </c>
      <c r="C286" t="n">
        <v>0</v>
      </c>
      <c r="D286" t="n">
        <v>2</v>
      </c>
      <c r="E286" t="n">
        <v>3</v>
      </c>
      <c r="F286" t="n">
        <v>3</v>
      </c>
      <c r="G286" t="n">
        <v>0</v>
      </c>
      <c r="H286" t="n">
        <v>2703</v>
      </c>
    </row>
    <row r="287">
      <c r="A287" t="inlineStr">
        <is>
          <t>normal_low_12</t>
        </is>
      </c>
      <c r="B287" t="n">
        <v>282</v>
      </c>
      <c r="C287" t="n">
        <v>250000</v>
      </c>
      <c r="D287" t="n">
        <v>6</v>
      </c>
      <c r="E287" t="n">
        <v>1</v>
      </c>
      <c r="F287" t="n">
        <v>1</v>
      </c>
      <c r="G287" t="n">
        <v>206454</v>
      </c>
      <c r="H287" t="n">
        <v>333570</v>
      </c>
    </row>
    <row r="288">
      <c r="A288" t="inlineStr">
        <is>
          <t>normal_low_12</t>
        </is>
      </c>
      <c r="B288" t="n">
        <v>283</v>
      </c>
      <c r="C288" t="n">
        <v>500000</v>
      </c>
      <c r="D288" t="n">
        <v>7</v>
      </c>
      <c r="E288" t="n">
        <v>0.5</v>
      </c>
      <c r="F288" t="n">
        <v>0.5</v>
      </c>
      <c r="G288" t="n">
        <v>333571</v>
      </c>
      <c r="H288" t="n">
        <v>666428</v>
      </c>
    </row>
    <row r="289">
      <c r="A289" t="inlineStr">
        <is>
          <t>normal_low_12</t>
        </is>
      </c>
      <c r="B289" t="n">
        <v>284</v>
      </c>
      <c r="C289" t="n">
        <v>750000</v>
      </c>
      <c r="D289" t="n">
        <v>8</v>
      </c>
      <c r="E289" t="n">
        <v>1</v>
      </c>
      <c r="F289" t="n">
        <v>1</v>
      </c>
      <c r="G289" t="n">
        <v>666429</v>
      </c>
      <c r="H289" t="n">
        <v>793544</v>
      </c>
    </row>
    <row r="290">
      <c r="A290" t="inlineStr">
        <is>
          <t>normal_low_12</t>
        </is>
      </c>
      <c r="B290" t="n">
        <v>285</v>
      </c>
      <c r="C290" t="n">
        <v>999999</v>
      </c>
      <c r="D290" t="n">
        <v>13</v>
      </c>
      <c r="E290" t="n">
        <v>10</v>
      </c>
      <c r="F290" t="n">
        <v>10</v>
      </c>
      <c r="G290" t="n">
        <v>999999</v>
      </c>
      <c r="H290" t="n">
        <v>999999</v>
      </c>
    </row>
    <row r="291">
      <c r="A291" t="inlineStr">
        <is>
          <t>normal_low_13</t>
        </is>
      </c>
      <c r="B291" t="n">
        <v>286</v>
      </c>
      <c r="C291" t="n">
        <v>0</v>
      </c>
      <c r="D291" t="n">
        <v>1</v>
      </c>
      <c r="E291" t="n">
        <v>8.1</v>
      </c>
      <c r="F291" t="n">
        <v>8.1</v>
      </c>
      <c r="G291" t="n">
        <v>0</v>
      </c>
      <c r="H291" t="n">
        <v>0</v>
      </c>
    </row>
    <row r="292">
      <c r="A292" t="inlineStr">
        <is>
          <t>normal_low_13</t>
        </is>
      </c>
      <c r="B292" t="n">
        <v>287</v>
      </c>
      <c r="C292" t="n">
        <v>250000</v>
      </c>
      <c r="D292" t="n">
        <v>6</v>
      </c>
      <c r="E292" t="n">
        <v>0.9</v>
      </c>
      <c r="F292" t="n">
        <v>0.9</v>
      </c>
      <c r="G292" t="n">
        <v>131726</v>
      </c>
      <c r="H292" t="n">
        <v>286270</v>
      </c>
    </row>
    <row r="293">
      <c r="A293" t="inlineStr">
        <is>
          <t>normal_low_13</t>
        </is>
      </c>
      <c r="B293" t="n">
        <v>288</v>
      </c>
      <c r="C293" t="n">
        <v>500000</v>
      </c>
      <c r="D293" t="n">
        <v>8</v>
      </c>
      <c r="E293" t="n">
        <v>0.7</v>
      </c>
      <c r="F293" t="n">
        <v>0.7</v>
      </c>
      <c r="G293" t="n">
        <v>500000</v>
      </c>
      <c r="H293" t="n">
        <v>713728</v>
      </c>
    </row>
    <row r="294">
      <c r="A294" t="inlineStr">
        <is>
          <t>normal_low_13</t>
        </is>
      </c>
      <c r="B294" t="n">
        <v>289</v>
      </c>
      <c r="C294" t="n">
        <v>750000</v>
      </c>
      <c r="D294" t="n">
        <v>9</v>
      </c>
      <c r="E294" t="n">
        <v>0.9</v>
      </c>
      <c r="F294" t="n">
        <v>0.9</v>
      </c>
      <c r="G294" t="n">
        <v>713729</v>
      </c>
      <c r="H294" t="n">
        <v>868273</v>
      </c>
    </row>
    <row r="295">
      <c r="A295" t="inlineStr">
        <is>
          <t>normal_low_13</t>
        </is>
      </c>
      <c r="B295" t="n">
        <v>290</v>
      </c>
      <c r="C295" t="n">
        <v>999999</v>
      </c>
      <c r="D295" t="n">
        <v>14</v>
      </c>
      <c r="E295" t="n">
        <v>8.1</v>
      </c>
      <c r="F295" t="n">
        <v>8.1</v>
      </c>
      <c r="G295" t="n">
        <v>999999</v>
      </c>
      <c r="H295" t="n">
        <v>999999</v>
      </c>
    </row>
    <row r="296">
      <c r="A296" t="inlineStr">
        <is>
          <t>normal_low_14</t>
        </is>
      </c>
      <c r="B296" t="n">
        <v>291</v>
      </c>
      <c r="C296" t="n">
        <v>0</v>
      </c>
      <c r="D296" t="n">
        <v>2</v>
      </c>
      <c r="E296" t="n">
        <v>4</v>
      </c>
      <c r="F296" t="n">
        <v>4</v>
      </c>
      <c r="G296" t="n">
        <v>0</v>
      </c>
      <c r="H296" t="n">
        <v>197</v>
      </c>
    </row>
    <row r="297">
      <c r="A297" t="inlineStr">
        <is>
          <t>normal_low_14</t>
        </is>
      </c>
      <c r="B297" t="n">
        <v>292</v>
      </c>
      <c r="C297" t="n">
        <v>250000</v>
      </c>
      <c r="D297" t="n">
        <v>7</v>
      </c>
      <c r="E297" t="n">
        <v>1</v>
      </c>
      <c r="F297" t="n">
        <v>1</v>
      </c>
      <c r="G297" t="n">
        <v>219766</v>
      </c>
      <c r="H297" t="n">
        <v>334442</v>
      </c>
    </row>
    <row r="298">
      <c r="A298" t="inlineStr">
        <is>
          <t>normal_low_14</t>
        </is>
      </c>
      <c r="B298" t="n">
        <v>293</v>
      </c>
      <c r="C298" t="n">
        <v>500000</v>
      </c>
      <c r="D298" t="n">
        <v>8</v>
      </c>
      <c r="E298" t="n">
        <v>0.5</v>
      </c>
      <c r="F298" t="n">
        <v>0.5</v>
      </c>
      <c r="G298" t="n">
        <v>334443</v>
      </c>
      <c r="H298" t="n">
        <v>665555</v>
      </c>
    </row>
    <row r="299">
      <c r="A299" t="inlineStr">
        <is>
          <t>normal_low_14</t>
        </is>
      </c>
      <c r="B299" t="n">
        <v>294</v>
      </c>
      <c r="C299" t="n">
        <v>750000</v>
      </c>
      <c r="D299" t="n">
        <v>9</v>
      </c>
      <c r="E299" t="n">
        <v>1</v>
      </c>
      <c r="F299" t="n">
        <v>1</v>
      </c>
      <c r="G299" t="n">
        <v>665556</v>
      </c>
      <c r="H299" t="n">
        <v>780232</v>
      </c>
    </row>
    <row r="300">
      <c r="A300" t="inlineStr">
        <is>
          <t>normal_low_14</t>
        </is>
      </c>
      <c r="B300" t="n">
        <v>295</v>
      </c>
      <c r="C300" t="n">
        <v>999999</v>
      </c>
      <c r="D300" t="n">
        <v>15</v>
      </c>
      <c r="E300" t="n">
        <v>7.1</v>
      </c>
      <c r="F300" t="n">
        <v>7.1</v>
      </c>
      <c r="G300" t="n">
        <v>999999</v>
      </c>
      <c r="H300" t="n">
        <v>999999</v>
      </c>
    </row>
    <row r="301">
      <c r="A301" t="inlineStr">
        <is>
          <t>normal_low_15</t>
        </is>
      </c>
      <c r="B301" t="n">
        <v>296</v>
      </c>
      <c r="C301" t="n">
        <v>0</v>
      </c>
      <c r="D301" t="n">
        <v>3</v>
      </c>
      <c r="E301" t="n">
        <v>3</v>
      </c>
      <c r="F301" t="n">
        <v>3</v>
      </c>
      <c r="G301" t="n">
        <v>0</v>
      </c>
      <c r="H301" t="n">
        <v>1712</v>
      </c>
    </row>
    <row r="302">
      <c r="A302" t="inlineStr">
        <is>
          <t>normal_low_15</t>
        </is>
      </c>
      <c r="B302" t="n">
        <v>297</v>
      </c>
      <c r="C302" t="n">
        <v>250000</v>
      </c>
      <c r="D302" t="n">
        <v>7</v>
      </c>
      <c r="E302" t="n">
        <v>1</v>
      </c>
      <c r="F302" t="n">
        <v>1</v>
      </c>
      <c r="G302" t="n">
        <v>154158</v>
      </c>
      <c r="H302" t="n">
        <v>273794</v>
      </c>
    </row>
    <row r="303">
      <c r="A303" t="inlineStr">
        <is>
          <t>normal_low_15</t>
        </is>
      </c>
      <c r="B303" t="n">
        <v>298</v>
      </c>
      <c r="C303" t="n">
        <v>500000</v>
      </c>
      <c r="D303" t="n">
        <v>9</v>
      </c>
      <c r="E303" t="n">
        <v>0.7</v>
      </c>
      <c r="F303" t="n">
        <v>0.7</v>
      </c>
      <c r="G303" t="n">
        <v>500000</v>
      </c>
      <c r="H303" t="n">
        <v>726204</v>
      </c>
    </row>
    <row r="304">
      <c r="A304" t="inlineStr">
        <is>
          <t>normal_low_15</t>
        </is>
      </c>
      <c r="B304" t="n">
        <v>299</v>
      </c>
      <c r="C304" t="n">
        <v>750000</v>
      </c>
      <c r="D304" t="n">
        <v>10</v>
      </c>
      <c r="E304" t="n">
        <v>1</v>
      </c>
      <c r="F304" t="n">
        <v>1</v>
      </c>
      <c r="G304" t="n">
        <v>726205</v>
      </c>
      <c r="H304" t="n">
        <v>845841</v>
      </c>
    </row>
    <row r="305">
      <c r="A305" t="inlineStr">
        <is>
          <t>normal_low_15</t>
        </is>
      </c>
      <c r="B305" t="n">
        <v>300</v>
      </c>
      <c r="C305" t="n">
        <v>999999</v>
      </c>
      <c r="D305" t="n">
        <v>16</v>
      </c>
      <c r="E305" t="n">
        <v>15</v>
      </c>
      <c r="F305" t="n">
        <v>15</v>
      </c>
      <c r="G305" t="n">
        <v>999999</v>
      </c>
      <c r="H305" t="n">
        <v>999999</v>
      </c>
    </row>
    <row r="306">
      <c r="A306" t="inlineStr">
        <is>
          <t>normal_low_16</t>
        </is>
      </c>
      <c r="B306" t="n">
        <v>301</v>
      </c>
      <c r="C306" t="n">
        <v>0</v>
      </c>
      <c r="D306" t="n">
        <v>3</v>
      </c>
      <c r="E306" t="n">
        <v>2</v>
      </c>
      <c r="F306" t="n">
        <v>2</v>
      </c>
      <c r="G306" t="n">
        <v>0</v>
      </c>
      <c r="H306" t="n">
        <v>9763</v>
      </c>
    </row>
    <row r="307">
      <c r="A307" t="inlineStr">
        <is>
          <t>normal_low_16</t>
        </is>
      </c>
      <c r="B307" t="n">
        <v>302</v>
      </c>
      <c r="C307" t="n">
        <v>250000</v>
      </c>
      <c r="D307" t="n">
        <v>8</v>
      </c>
      <c r="E307" t="n">
        <v>1</v>
      </c>
      <c r="F307" t="n">
        <v>1</v>
      </c>
      <c r="G307" t="n">
        <v>233751</v>
      </c>
      <c r="H307" t="n">
        <v>335579</v>
      </c>
    </row>
    <row r="308">
      <c r="A308" t="inlineStr">
        <is>
          <t>normal_low_16</t>
        </is>
      </c>
      <c r="B308" t="n">
        <v>303</v>
      </c>
      <c r="C308" t="n">
        <v>500000</v>
      </c>
      <c r="D308" t="n">
        <v>9</v>
      </c>
      <c r="E308" t="n">
        <v>0.5</v>
      </c>
      <c r="F308" t="n">
        <v>0.5</v>
      </c>
      <c r="G308" t="n">
        <v>335580</v>
      </c>
      <c r="H308" t="n">
        <v>664419</v>
      </c>
    </row>
    <row r="309">
      <c r="A309" t="inlineStr">
        <is>
          <t>normal_low_16</t>
        </is>
      </c>
      <c r="B309" t="n">
        <v>304</v>
      </c>
      <c r="C309" t="n">
        <v>750000</v>
      </c>
      <c r="D309" t="n">
        <v>10</v>
      </c>
      <c r="E309" t="n">
        <v>1</v>
      </c>
      <c r="F309" t="n">
        <v>1</v>
      </c>
      <c r="G309" t="n">
        <v>664420</v>
      </c>
      <c r="H309" t="n">
        <v>766248</v>
      </c>
    </row>
    <row r="310">
      <c r="A310" t="inlineStr">
        <is>
          <t>normal_low_16</t>
        </is>
      </c>
      <c r="B310" t="n">
        <v>305</v>
      </c>
      <c r="C310" t="n">
        <v>999999</v>
      </c>
      <c r="D310" t="n">
        <v>17</v>
      </c>
      <c r="E310" t="n">
        <v>16</v>
      </c>
      <c r="F310" t="n">
        <v>16</v>
      </c>
      <c r="G310" t="n">
        <v>999999</v>
      </c>
      <c r="H310" t="n">
        <v>999999</v>
      </c>
    </row>
    <row r="311">
      <c r="A311" t="inlineStr">
        <is>
          <t>normal_low_8</t>
        </is>
      </c>
      <c r="B311" t="n">
        <v>306</v>
      </c>
      <c r="C311" t="n">
        <v>0</v>
      </c>
      <c r="D311" t="n">
        <v>1</v>
      </c>
      <c r="E311" t="n">
        <v>5.6</v>
      </c>
      <c r="F311" t="n">
        <v>5.6</v>
      </c>
      <c r="G311" t="n">
        <v>0</v>
      </c>
      <c r="H311" t="n">
        <v>412</v>
      </c>
    </row>
    <row r="312">
      <c r="A312" t="inlineStr">
        <is>
          <t>normal_low_8</t>
        </is>
      </c>
      <c r="B312" t="n">
        <v>307</v>
      </c>
      <c r="C312" t="n">
        <v>250000</v>
      </c>
      <c r="D312" t="n">
        <v>4</v>
      </c>
      <c r="E312" t="n">
        <v>1</v>
      </c>
      <c r="F312" t="n">
        <v>1</v>
      </c>
      <c r="G312" t="n">
        <v>182075</v>
      </c>
      <c r="H312" t="n">
        <v>344605</v>
      </c>
    </row>
    <row r="313">
      <c r="A313" t="inlineStr">
        <is>
          <t>normal_low_8</t>
        </is>
      </c>
      <c r="B313" t="n">
        <v>308</v>
      </c>
      <c r="C313" t="n">
        <v>500000</v>
      </c>
      <c r="D313" t="n">
        <v>5</v>
      </c>
      <c r="E313" t="n">
        <v>0.5</v>
      </c>
      <c r="F313" t="n">
        <v>0.5</v>
      </c>
      <c r="G313" t="n">
        <v>344606</v>
      </c>
      <c r="H313" t="n">
        <v>655805</v>
      </c>
    </row>
    <row r="314">
      <c r="A314" t="inlineStr">
        <is>
          <t>normal_low_8</t>
        </is>
      </c>
      <c r="B314" t="n">
        <v>309</v>
      </c>
      <c r="C314" t="n">
        <v>750000</v>
      </c>
      <c r="D314" t="n">
        <v>6</v>
      </c>
      <c r="E314" t="n">
        <v>1</v>
      </c>
      <c r="F314" t="n">
        <v>1</v>
      </c>
      <c r="G314" t="n">
        <v>655806</v>
      </c>
      <c r="H314" t="n">
        <v>818336</v>
      </c>
    </row>
    <row r="315">
      <c r="A315" t="inlineStr">
        <is>
          <t>normal_low_8</t>
        </is>
      </c>
      <c r="B315" t="n">
        <v>310</v>
      </c>
      <c r="C315" t="n">
        <v>999999</v>
      </c>
      <c r="D315" t="n">
        <v>9</v>
      </c>
      <c r="E315" t="n">
        <v>5.6</v>
      </c>
      <c r="F315" t="n">
        <v>5.6</v>
      </c>
      <c r="G315" t="n">
        <v>999999</v>
      </c>
      <c r="H315" t="n">
        <v>999999</v>
      </c>
    </row>
    <row r="316">
      <c r="A316" t="inlineStr">
        <is>
          <t>normal_low_9</t>
        </is>
      </c>
      <c r="B316" t="n">
        <v>311</v>
      </c>
      <c r="C316" t="n">
        <v>0</v>
      </c>
      <c r="D316" t="n">
        <v>1</v>
      </c>
      <c r="E316" t="n">
        <v>5.6</v>
      </c>
      <c r="F316" t="n">
        <v>5.6</v>
      </c>
      <c r="G316" t="n">
        <v>0</v>
      </c>
      <c r="H316" t="n">
        <v>46</v>
      </c>
    </row>
    <row r="317">
      <c r="A317" t="inlineStr">
        <is>
          <t>normal_low_9</t>
        </is>
      </c>
      <c r="B317" t="n">
        <v>312</v>
      </c>
      <c r="C317" t="n">
        <v>250000</v>
      </c>
      <c r="D317" t="n">
        <v>5</v>
      </c>
      <c r="E317" t="n">
        <v>0.7</v>
      </c>
      <c r="F317" t="n">
        <v>0.7</v>
      </c>
      <c r="G317" t="n">
        <v>236406</v>
      </c>
      <c r="H317" t="n">
        <v>500022</v>
      </c>
    </row>
    <row r="318">
      <c r="A318" t="inlineStr">
        <is>
          <t>normal_low_9</t>
        </is>
      </c>
      <c r="B318" t="n">
        <v>313</v>
      </c>
      <c r="C318" t="n">
        <v>500000</v>
      </c>
      <c r="D318" t="n">
        <v>5</v>
      </c>
      <c r="E318" t="n">
        <v>0.7</v>
      </c>
      <c r="F318" t="n">
        <v>0.7</v>
      </c>
      <c r="G318" t="n">
        <v>236406</v>
      </c>
      <c r="H318" t="n">
        <v>500022</v>
      </c>
    </row>
    <row r="319">
      <c r="A319" t="inlineStr">
        <is>
          <t>normal_low_9</t>
        </is>
      </c>
      <c r="B319" t="n">
        <v>314</v>
      </c>
      <c r="C319" t="n">
        <v>750000</v>
      </c>
      <c r="D319" t="n">
        <v>6</v>
      </c>
      <c r="E319" t="n">
        <v>0.7</v>
      </c>
      <c r="F319" t="n">
        <v>0.7</v>
      </c>
      <c r="G319" t="n">
        <v>500023</v>
      </c>
      <c r="H319" t="n">
        <v>763639</v>
      </c>
    </row>
    <row r="320">
      <c r="A320" t="inlineStr">
        <is>
          <t>normal_low_9</t>
        </is>
      </c>
      <c r="B320" t="n">
        <v>315</v>
      </c>
      <c r="C320" t="n">
        <v>999999</v>
      </c>
      <c r="D320" t="n">
        <v>10</v>
      </c>
      <c r="E320" t="n">
        <v>5.6</v>
      </c>
      <c r="F320" t="n">
        <v>5.6</v>
      </c>
      <c r="G320" t="n">
        <v>999999</v>
      </c>
      <c r="H320" t="n">
        <v>999999</v>
      </c>
    </row>
    <row r="321">
      <c r="A321" t="inlineStr">
        <is>
          <t>normal_medium_10</t>
        </is>
      </c>
      <c r="B321" t="n">
        <v>316</v>
      </c>
      <c r="C321" t="n">
        <v>0</v>
      </c>
      <c r="D321" t="n">
        <v>2</v>
      </c>
      <c r="E321" t="n">
        <v>5</v>
      </c>
      <c r="F321" t="n">
        <v>5</v>
      </c>
      <c r="G321" t="n">
        <v>0</v>
      </c>
      <c r="H321" t="n">
        <v>5969</v>
      </c>
    </row>
    <row r="322">
      <c r="A322" t="inlineStr">
        <is>
          <t>normal_medium_10</t>
        </is>
      </c>
      <c r="B322" t="n">
        <v>317</v>
      </c>
      <c r="C322" t="n">
        <v>250000</v>
      </c>
      <c r="D322" t="n">
        <v>5</v>
      </c>
      <c r="E322" t="n">
        <v>0.6</v>
      </c>
      <c r="F322" t="n">
        <v>0.6</v>
      </c>
      <c r="G322" t="n">
        <v>178656</v>
      </c>
      <c r="H322" t="n">
        <v>381157</v>
      </c>
    </row>
    <row r="323">
      <c r="A323" t="inlineStr">
        <is>
          <t>normal_medium_10</t>
        </is>
      </c>
      <c r="B323" t="n">
        <v>318</v>
      </c>
      <c r="C323" t="n">
        <v>500000</v>
      </c>
      <c r="D323" t="n">
        <v>6</v>
      </c>
      <c r="E323" t="n">
        <v>0.4</v>
      </c>
      <c r="F323" t="n">
        <v>0.4</v>
      </c>
      <c r="G323" t="n">
        <v>381158</v>
      </c>
      <c r="H323" t="n">
        <v>618840</v>
      </c>
    </row>
    <row r="324">
      <c r="A324" t="inlineStr">
        <is>
          <t>normal_medium_10</t>
        </is>
      </c>
      <c r="B324" t="n">
        <v>319</v>
      </c>
      <c r="C324" t="n">
        <v>750000</v>
      </c>
      <c r="D324" t="n">
        <v>7</v>
      </c>
      <c r="E324" t="n">
        <v>0.6</v>
      </c>
      <c r="F324" t="n">
        <v>0.6</v>
      </c>
      <c r="G324" t="n">
        <v>618841</v>
      </c>
      <c r="H324" t="n">
        <v>821342</v>
      </c>
    </row>
    <row r="325">
      <c r="A325" t="inlineStr">
        <is>
          <t>normal_medium_10</t>
        </is>
      </c>
      <c r="B325" t="n">
        <v>320</v>
      </c>
      <c r="C325" t="n">
        <v>999999</v>
      </c>
      <c r="D325" t="n">
        <v>11</v>
      </c>
      <c r="E325" t="n">
        <v>22</v>
      </c>
      <c r="F325" t="n">
        <v>22</v>
      </c>
      <c r="G325" t="n">
        <v>999999</v>
      </c>
      <c r="H325" t="n">
        <v>999999</v>
      </c>
    </row>
    <row r="326">
      <c r="A326" t="inlineStr">
        <is>
          <t>normal_medium_11</t>
        </is>
      </c>
      <c r="B326" t="n">
        <v>321</v>
      </c>
      <c r="C326" t="n">
        <v>0</v>
      </c>
      <c r="D326" t="n">
        <v>2</v>
      </c>
      <c r="E326" t="n">
        <v>6</v>
      </c>
      <c r="F326" t="n">
        <v>6</v>
      </c>
      <c r="G326" t="n">
        <v>0</v>
      </c>
      <c r="H326" t="n">
        <v>3083</v>
      </c>
    </row>
    <row r="327">
      <c r="A327" t="inlineStr">
        <is>
          <t>normal_medium_11</t>
        </is>
      </c>
      <c r="B327" t="n">
        <v>322</v>
      </c>
      <c r="C327" t="n">
        <v>250000</v>
      </c>
      <c r="D327" t="n">
        <v>5</v>
      </c>
      <c r="E327" t="n">
        <v>0.7</v>
      </c>
      <c r="F327" t="n">
        <v>0.7</v>
      </c>
      <c r="G327" t="n">
        <v>111108</v>
      </c>
      <c r="H327" t="n">
        <v>290671</v>
      </c>
    </row>
    <row r="328">
      <c r="A328" t="inlineStr">
        <is>
          <t>normal_medium_11</t>
        </is>
      </c>
      <c r="B328" t="n">
        <v>323</v>
      </c>
      <c r="C328" t="n">
        <v>500000</v>
      </c>
      <c r="D328" t="n">
        <v>7</v>
      </c>
      <c r="E328" t="n">
        <v>0.5</v>
      </c>
      <c r="F328" t="n">
        <v>0.5</v>
      </c>
      <c r="G328" t="n">
        <v>500000</v>
      </c>
      <c r="H328" t="n">
        <v>709327</v>
      </c>
    </row>
    <row r="329">
      <c r="A329" t="inlineStr">
        <is>
          <t>normal_medium_11</t>
        </is>
      </c>
      <c r="B329" t="n">
        <v>324</v>
      </c>
      <c r="C329" t="n">
        <v>750000</v>
      </c>
      <c r="D329" t="n">
        <v>8</v>
      </c>
      <c r="E329" t="n">
        <v>0.7</v>
      </c>
      <c r="F329" t="n">
        <v>0.7</v>
      </c>
      <c r="G329" t="n">
        <v>709328</v>
      </c>
      <c r="H329" t="n">
        <v>888891</v>
      </c>
    </row>
    <row r="330">
      <c r="A330" t="inlineStr">
        <is>
          <t>normal_medium_11</t>
        </is>
      </c>
      <c r="B330" t="n">
        <v>325</v>
      </c>
      <c r="C330" t="n">
        <v>999999</v>
      </c>
      <c r="D330" t="n">
        <v>12</v>
      </c>
      <c r="E330" t="n">
        <v>24</v>
      </c>
      <c r="F330" t="n">
        <v>24</v>
      </c>
      <c r="G330" t="n">
        <v>999999</v>
      </c>
      <c r="H330" t="n">
        <v>999999</v>
      </c>
    </row>
    <row r="331">
      <c r="A331" t="inlineStr">
        <is>
          <t>normal_medium_12</t>
        </is>
      </c>
      <c r="B331" t="n">
        <v>326</v>
      </c>
      <c r="C331" t="n">
        <v>0</v>
      </c>
      <c r="D331" t="n">
        <v>2</v>
      </c>
      <c r="E331" t="n">
        <v>11</v>
      </c>
      <c r="F331" t="n">
        <v>11</v>
      </c>
      <c r="G331" t="n">
        <v>0</v>
      </c>
      <c r="H331" t="n">
        <v>116</v>
      </c>
    </row>
    <row r="332">
      <c r="A332" t="inlineStr">
        <is>
          <t>normal_medium_12</t>
        </is>
      </c>
      <c r="B332" t="n">
        <v>327</v>
      </c>
      <c r="C332" t="n">
        <v>250000</v>
      </c>
      <c r="D332" t="n">
        <v>6</v>
      </c>
      <c r="E332" t="n">
        <v>0.6</v>
      </c>
      <c r="F332" t="n">
        <v>0.6</v>
      </c>
      <c r="G332" t="n">
        <v>209548</v>
      </c>
      <c r="H332" t="n">
        <v>389084</v>
      </c>
    </row>
    <row r="333">
      <c r="A333" t="inlineStr">
        <is>
          <t>normal_medium_12</t>
        </is>
      </c>
      <c r="B333" t="n">
        <v>328</v>
      </c>
      <c r="C333" t="n">
        <v>500000</v>
      </c>
      <c r="D333" t="n">
        <v>7</v>
      </c>
      <c r="E333" t="n">
        <v>0.3</v>
      </c>
      <c r="F333" t="n">
        <v>0.3</v>
      </c>
      <c r="G333" t="n">
        <v>389085</v>
      </c>
      <c r="H333" t="n">
        <v>610914</v>
      </c>
    </row>
    <row r="334">
      <c r="A334" t="inlineStr">
        <is>
          <t>normal_medium_12</t>
        </is>
      </c>
      <c r="B334" t="n">
        <v>329</v>
      </c>
      <c r="C334" t="n">
        <v>750000</v>
      </c>
      <c r="D334" t="n">
        <v>8</v>
      </c>
      <c r="E334" t="n">
        <v>0.6</v>
      </c>
      <c r="F334" t="n">
        <v>0.6</v>
      </c>
      <c r="G334" t="n">
        <v>610915</v>
      </c>
      <c r="H334" t="n">
        <v>790451</v>
      </c>
    </row>
    <row r="335">
      <c r="A335" t="inlineStr">
        <is>
          <t>normal_medium_12</t>
        </is>
      </c>
      <c r="B335" t="n">
        <v>330</v>
      </c>
      <c r="C335" t="n">
        <v>999999</v>
      </c>
      <c r="D335" t="n">
        <v>13</v>
      </c>
      <c r="E335" t="n">
        <v>33</v>
      </c>
      <c r="F335" t="n">
        <v>33</v>
      </c>
      <c r="G335" t="n">
        <v>999999</v>
      </c>
      <c r="H335" t="n">
        <v>999999</v>
      </c>
    </row>
    <row r="336">
      <c r="A336" t="inlineStr">
        <is>
          <t>normal_medium_13</t>
        </is>
      </c>
      <c r="B336" t="n">
        <v>331</v>
      </c>
      <c r="C336" t="n">
        <v>0</v>
      </c>
      <c r="D336" t="n">
        <v>2</v>
      </c>
      <c r="E336" t="n">
        <v>13</v>
      </c>
      <c r="F336" t="n">
        <v>13</v>
      </c>
      <c r="G336" t="n">
        <v>0</v>
      </c>
      <c r="H336" t="n">
        <v>82</v>
      </c>
    </row>
    <row r="337">
      <c r="A337" t="inlineStr">
        <is>
          <t>normal_medium_13</t>
        </is>
      </c>
      <c r="B337" t="n">
        <v>332</v>
      </c>
      <c r="C337" t="n">
        <v>250000</v>
      </c>
      <c r="D337" t="n">
        <v>6</v>
      </c>
      <c r="E337" t="n">
        <v>0.7</v>
      </c>
      <c r="F337" t="n">
        <v>0.7</v>
      </c>
      <c r="G337" t="n">
        <v>153480</v>
      </c>
      <c r="H337" t="n">
        <v>310843</v>
      </c>
    </row>
    <row r="338">
      <c r="A338" t="inlineStr">
        <is>
          <t>normal_medium_13</t>
        </is>
      </c>
      <c r="B338" t="n">
        <v>333</v>
      </c>
      <c r="C338" t="n">
        <v>500000</v>
      </c>
      <c r="D338" t="n">
        <v>8</v>
      </c>
      <c r="E338" t="n">
        <v>0.4</v>
      </c>
      <c r="F338" t="n">
        <v>0.4</v>
      </c>
      <c r="G338" t="n">
        <v>500000</v>
      </c>
      <c r="H338" t="n">
        <v>689155</v>
      </c>
    </row>
    <row r="339">
      <c r="A339" t="inlineStr">
        <is>
          <t>normal_medium_13</t>
        </is>
      </c>
      <c r="B339" t="n">
        <v>334</v>
      </c>
      <c r="C339" t="n">
        <v>750000</v>
      </c>
      <c r="D339" t="n">
        <v>9</v>
      </c>
      <c r="E339" t="n">
        <v>0.7</v>
      </c>
      <c r="F339" t="n">
        <v>0.7</v>
      </c>
      <c r="G339" t="n">
        <v>689156</v>
      </c>
      <c r="H339" t="n">
        <v>846518</v>
      </c>
    </row>
    <row r="340">
      <c r="A340" t="inlineStr">
        <is>
          <t>normal_medium_13</t>
        </is>
      </c>
      <c r="B340" t="n">
        <v>335</v>
      </c>
      <c r="C340" t="n">
        <v>999999</v>
      </c>
      <c r="D340" t="n">
        <v>14</v>
      </c>
      <c r="E340" t="n">
        <v>43</v>
      </c>
      <c r="F340" t="n">
        <v>43</v>
      </c>
      <c r="G340" t="n">
        <v>999999</v>
      </c>
      <c r="H340" t="n">
        <v>999999</v>
      </c>
    </row>
    <row r="341">
      <c r="A341" t="inlineStr">
        <is>
          <t>normal_medium_14</t>
        </is>
      </c>
      <c r="B341" t="n">
        <v>336</v>
      </c>
      <c r="C341" t="n">
        <v>0</v>
      </c>
      <c r="D341" t="n">
        <v>2</v>
      </c>
      <c r="E341" t="n">
        <v>15</v>
      </c>
      <c r="F341" t="n">
        <v>15</v>
      </c>
      <c r="G341" t="n">
        <v>0</v>
      </c>
      <c r="H341" t="n">
        <v>25</v>
      </c>
    </row>
    <row r="342">
      <c r="A342" t="inlineStr">
        <is>
          <t>normal_medium_14</t>
        </is>
      </c>
      <c r="B342" t="n">
        <v>337</v>
      </c>
      <c r="C342" t="n">
        <v>250000</v>
      </c>
      <c r="D342" t="n">
        <v>7</v>
      </c>
      <c r="E342" t="n">
        <v>0.5</v>
      </c>
      <c r="F342" t="n">
        <v>0.5</v>
      </c>
      <c r="G342" t="n">
        <v>224800</v>
      </c>
      <c r="H342" t="n">
        <v>396838</v>
      </c>
    </row>
    <row r="343">
      <c r="A343" t="inlineStr">
        <is>
          <t>normal_medium_14</t>
        </is>
      </c>
      <c r="B343" t="n">
        <v>338</v>
      </c>
      <c r="C343" t="n">
        <v>500000</v>
      </c>
      <c r="D343" t="n">
        <v>8</v>
      </c>
      <c r="E343" t="n">
        <v>0.2</v>
      </c>
      <c r="F343" t="n">
        <v>0.2</v>
      </c>
      <c r="G343" t="n">
        <v>396839</v>
      </c>
      <c r="H343" t="n">
        <v>603159</v>
      </c>
    </row>
    <row r="344">
      <c r="A344" t="inlineStr">
        <is>
          <t>normal_medium_14</t>
        </is>
      </c>
      <c r="B344" t="n">
        <v>339</v>
      </c>
      <c r="C344" t="n">
        <v>750000</v>
      </c>
      <c r="D344" t="n">
        <v>9</v>
      </c>
      <c r="E344" t="n">
        <v>0.5</v>
      </c>
      <c r="F344" t="n">
        <v>0.5</v>
      </c>
      <c r="G344" t="n">
        <v>603160</v>
      </c>
      <c r="H344" t="n">
        <v>775198</v>
      </c>
    </row>
    <row r="345">
      <c r="A345" t="inlineStr">
        <is>
          <t>normal_medium_14</t>
        </is>
      </c>
      <c r="B345" t="n">
        <v>340</v>
      </c>
      <c r="C345" t="n">
        <v>999999</v>
      </c>
      <c r="D345" t="n">
        <v>15</v>
      </c>
      <c r="E345" t="n">
        <v>58</v>
      </c>
      <c r="F345" t="n">
        <v>58</v>
      </c>
      <c r="G345" t="n">
        <v>999999</v>
      </c>
      <c r="H345" t="n">
        <v>999999</v>
      </c>
    </row>
    <row r="346">
      <c r="A346" t="inlineStr">
        <is>
          <t>normal_medium_15</t>
        </is>
      </c>
      <c r="B346" t="n">
        <v>341</v>
      </c>
      <c r="C346" t="n">
        <v>0</v>
      </c>
      <c r="D346" t="n">
        <v>2</v>
      </c>
      <c r="E346" t="n">
        <v>18</v>
      </c>
      <c r="F346" t="n">
        <v>18</v>
      </c>
      <c r="G346" t="n">
        <v>0</v>
      </c>
      <c r="H346" t="n">
        <v>15</v>
      </c>
    </row>
    <row r="347">
      <c r="A347" t="inlineStr">
        <is>
          <t>normal_medium_15</t>
        </is>
      </c>
      <c r="B347" t="n">
        <v>342</v>
      </c>
      <c r="C347" t="n">
        <v>250000</v>
      </c>
      <c r="D347" t="n">
        <v>7</v>
      </c>
      <c r="E347" t="n">
        <v>0.5</v>
      </c>
      <c r="F347" t="n">
        <v>0.5</v>
      </c>
      <c r="G347" t="n">
        <v>163346</v>
      </c>
      <c r="H347" t="n">
        <v>322839</v>
      </c>
    </row>
    <row r="348">
      <c r="A348" t="inlineStr">
        <is>
          <t>normal_medium_15</t>
        </is>
      </c>
      <c r="B348" t="n">
        <v>343</v>
      </c>
      <c r="C348" t="n">
        <v>500000</v>
      </c>
      <c r="D348" t="n">
        <v>9</v>
      </c>
      <c r="E348" t="n">
        <v>0.3</v>
      </c>
      <c r="F348" t="n">
        <v>0.3</v>
      </c>
      <c r="G348" t="n">
        <v>500000</v>
      </c>
      <c r="H348" t="n">
        <v>677159</v>
      </c>
    </row>
    <row r="349">
      <c r="A349" t="inlineStr">
        <is>
          <t>normal_medium_15</t>
        </is>
      </c>
      <c r="B349" t="n">
        <v>344</v>
      </c>
      <c r="C349" t="n">
        <v>750000</v>
      </c>
      <c r="D349" t="n">
        <v>10</v>
      </c>
      <c r="E349" t="n">
        <v>0.5</v>
      </c>
      <c r="F349" t="n">
        <v>0.5</v>
      </c>
      <c r="G349" t="n">
        <v>677160</v>
      </c>
      <c r="H349" t="n">
        <v>836653</v>
      </c>
    </row>
    <row r="350">
      <c r="A350" t="inlineStr">
        <is>
          <t>normal_medium_15</t>
        </is>
      </c>
      <c r="B350" t="n">
        <v>345</v>
      </c>
      <c r="C350" t="n">
        <v>999999</v>
      </c>
      <c r="D350" t="n">
        <v>16</v>
      </c>
      <c r="E350" t="n">
        <v>88</v>
      </c>
      <c r="F350" t="n">
        <v>88</v>
      </c>
      <c r="G350" t="n">
        <v>999999</v>
      </c>
      <c r="H350" t="n">
        <v>999999</v>
      </c>
    </row>
    <row r="351">
      <c r="A351" t="inlineStr">
        <is>
          <t>normal_medium_16</t>
        </is>
      </c>
      <c r="B351" t="n">
        <v>346</v>
      </c>
      <c r="C351" t="n">
        <v>0</v>
      </c>
      <c r="D351" t="n">
        <v>3</v>
      </c>
      <c r="E351" t="n">
        <v>10</v>
      </c>
      <c r="F351" t="n">
        <v>10</v>
      </c>
      <c r="G351" t="n">
        <v>0</v>
      </c>
      <c r="H351" t="n">
        <v>220</v>
      </c>
    </row>
    <row r="352">
      <c r="A352" t="inlineStr">
        <is>
          <t>normal_medium_16</t>
        </is>
      </c>
      <c r="B352" t="n">
        <v>347</v>
      </c>
      <c r="C352" t="n">
        <v>250000</v>
      </c>
      <c r="D352" t="n">
        <v>8</v>
      </c>
      <c r="E352" t="n">
        <v>0.5</v>
      </c>
      <c r="F352" t="n">
        <v>0.5</v>
      </c>
      <c r="G352" t="n">
        <v>237313</v>
      </c>
      <c r="H352" t="n">
        <v>404112</v>
      </c>
    </row>
    <row r="353">
      <c r="A353" t="inlineStr">
        <is>
          <t>normal_medium_16</t>
        </is>
      </c>
      <c r="B353" t="n">
        <v>348</v>
      </c>
      <c r="C353" t="n">
        <v>500000</v>
      </c>
      <c r="D353" t="n">
        <v>9</v>
      </c>
      <c r="E353" t="n">
        <v>0.3</v>
      </c>
      <c r="F353" t="n">
        <v>0.3</v>
      </c>
      <c r="G353" t="n">
        <v>404113</v>
      </c>
      <c r="H353" t="n">
        <v>595886</v>
      </c>
    </row>
    <row r="354">
      <c r="A354" t="inlineStr">
        <is>
          <t>normal_medium_16</t>
        </is>
      </c>
      <c r="B354" t="n">
        <v>349</v>
      </c>
      <c r="C354" t="n">
        <v>750000</v>
      </c>
      <c r="D354" t="n">
        <v>10</v>
      </c>
      <c r="E354" t="n">
        <v>0.5</v>
      </c>
      <c r="F354" t="n">
        <v>0.5</v>
      </c>
      <c r="G354" t="n">
        <v>595887</v>
      </c>
      <c r="H354" t="n">
        <v>762685</v>
      </c>
    </row>
    <row r="355">
      <c r="A355" t="inlineStr">
        <is>
          <t>normal_medium_16</t>
        </is>
      </c>
      <c r="B355" t="n">
        <v>350</v>
      </c>
      <c r="C355" t="n">
        <v>999999</v>
      </c>
      <c r="D355" t="n">
        <v>17</v>
      </c>
      <c r="E355" t="n">
        <v>110</v>
      </c>
      <c r="F355" t="n">
        <v>110</v>
      </c>
      <c r="G355" t="n">
        <v>999999</v>
      </c>
      <c r="H355" t="n">
        <v>999999</v>
      </c>
    </row>
    <row r="356">
      <c r="A356" t="inlineStr">
        <is>
          <t>normal_medium_8</t>
        </is>
      </c>
      <c r="B356" t="n">
        <v>351</v>
      </c>
      <c r="C356" t="n">
        <v>0</v>
      </c>
      <c r="D356" t="n">
        <v>1</v>
      </c>
      <c r="E356" t="n">
        <v>13</v>
      </c>
      <c r="F356" t="n">
        <v>13</v>
      </c>
      <c r="G356" t="n">
        <v>0</v>
      </c>
      <c r="H356" t="n">
        <v>27</v>
      </c>
    </row>
    <row r="357">
      <c r="A357" t="inlineStr">
        <is>
          <t>normal_medium_8</t>
        </is>
      </c>
      <c r="B357" t="n">
        <v>352</v>
      </c>
      <c r="C357" t="n">
        <v>250000</v>
      </c>
      <c r="D357" t="n">
        <v>4</v>
      </c>
      <c r="E357" t="n">
        <v>0.7</v>
      </c>
      <c r="F357" t="n">
        <v>0.7</v>
      </c>
      <c r="G357" t="n">
        <v>170480</v>
      </c>
      <c r="H357" t="n">
        <v>373778</v>
      </c>
    </row>
    <row r="358">
      <c r="A358" t="inlineStr">
        <is>
          <t>normal_medium_8</t>
        </is>
      </c>
      <c r="B358" t="n">
        <v>353</v>
      </c>
      <c r="C358" t="n">
        <v>500000</v>
      </c>
      <c r="D358" t="n">
        <v>5</v>
      </c>
      <c r="E358" t="n">
        <v>0.4</v>
      </c>
      <c r="F358" t="n">
        <v>0.4</v>
      </c>
      <c r="G358" t="n">
        <v>373779</v>
      </c>
      <c r="H358" t="n">
        <v>626247</v>
      </c>
    </row>
    <row r="359">
      <c r="A359" t="inlineStr">
        <is>
          <t>normal_medium_8</t>
        </is>
      </c>
      <c r="B359" t="n">
        <v>354</v>
      </c>
      <c r="C359" t="n">
        <v>750000</v>
      </c>
      <c r="D359" t="n">
        <v>6</v>
      </c>
      <c r="E359" t="n">
        <v>0.7</v>
      </c>
      <c r="F359" t="n">
        <v>0.7</v>
      </c>
      <c r="G359" t="n">
        <v>626248</v>
      </c>
      <c r="H359" t="n">
        <v>829546</v>
      </c>
    </row>
    <row r="360">
      <c r="A360" t="inlineStr">
        <is>
          <t>normal_medium_8</t>
        </is>
      </c>
      <c r="B360" t="n">
        <v>355</v>
      </c>
      <c r="C360" t="n">
        <v>999999</v>
      </c>
      <c r="D360" t="n">
        <v>9</v>
      </c>
      <c r="E360" t="n">
        <v>13</v>
      </c>
      <c r="F360" t="n">
        <v>13</v>
      </c>
      <c r="G360" t="n">
        <v>999999</v>
      </c>
      <c r="H360" t="n">
        <v>999999</v>
      </c>
    </row>
    <row r="361">
      <c r="A361" t="inlineStr">
        <is>
          <t>normal_medium_9</t>
        </is>
      </c>
      <c r="B361" t="n">
        <v>356</v>
      </c>
      <c r="C361" t="n">
        <v>0</v>
      </c>
      <c r="D361" t="n">
        <v>1</v>
      </c>
      <c r="E361" t="n">
        <v>18</v>
      </c>
      <c r="F361" t="n">
        <v>18</v>
      </c>
      <c r="G361" t="n">
        <v>0</v>
      </c>
      <c r="H361" t="n">
        <v>0</v>
      </c>
    </row>
    <row r="362">
      <c r="A362" t="inlineStr">
        <is>
          <t>normal_medium_9</t>
        </is>
      </c>
      <c r="B362" t="n">
        <v>357</v>
      </c>
      <c r="C362" t="n">
        <v>250000</v>
      </c>
      <c r="D362" t="n">
        <v>4</v>
      </c>
      <c r="E362" t="n">
        <v>0.9</v>
      </c>
      <c r="F362" t="n">
        <v>0.9</v>
      </c>
      <c r="G362" t="n">
        <v>106246</v>
      </c>
      <c r="H362" t="n">
        <v>273261</v>
      </c>
    </row>
    <row r="363">
      <c r="A363" t="inlineStr">
        <is>
          <t>normal_medium_9</t>
        </is>
      </c>
      <c r="B363" t="n">
        <v>358</v>
      </c>
      <c r="C363" t="n">
        <v>500000</v>
      </c>
      <c r="D363" t="n">
        <v>6</v>
      </c>
      <c r="E363" t="n">
        <v>0.5</v>
      </c>
      <c r="F363" t="n">
        <v>0.5</v>
      </c>
      <c r="G363" t="n">
        <v>500000</v>
      </c>
      <c r="H363" t="n">
        <v>726737</v>
      </c>
    </row>
    <row r="364">
      <c r="A364" t="inlineStr">
        <is>
          <t>normal_medium_9</t>
        </is>
      </c>
      <c r="B364" t="n">
        <v>359</v>
      </c>
      <c r="C364" t="n">
        <v>750000</v>
      </c>
      <c r="D364" t="n">
        <v>7</v>
      </c>
      <c r="E364" t="n">
        <v>0.9</v>
      </c>
      <c r="F364" t="n">
        <v>0.9</v>
      </c>
      <c r="G364" t="n">
        <v>726738</v>
      </c>
      <c r="H364" t="n">
        <v>893753</v>
      </c>
    </row>
    <row r="365">
      <c r="A365" t="inlineStr">
        <is>
          <t>normal_medium_9</t>
        </is>
      </c>
      <c r="B365" t="n">
        <v>360</v>
      </c>
      <c r="C365" t="n">
        <v>999999</v>
      </c>
      <c r="D365" t="n">
        <v>10</v>
      </c>
      <c r="E365" t="n">
        <v>18</v>
      </c>
      <c r="F365" t="n">
        <v>18</v>
      </c>
      <c r="G365" t="n">
        <v>999999</v>
      </c>
      <c r="H365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2026-06-15T15:05:35Z</dcterms:created>
  <dcterms:modified xmlns:dcterms="http://purl.org/dc/terms/" xmlns:xsi="http://www.w3.org/2001/XMLSchema-instance" xsi:type="dcterms:W3CDTF">2026-06-15T15:05:35Z</dcterms:modified>
</cp:coreProperties>
</file>