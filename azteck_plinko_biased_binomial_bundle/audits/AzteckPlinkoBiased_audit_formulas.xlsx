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y100_expert_10" sheetId="2" state="visible" r:id="rId2"/>
    <sheet xmlns:r="http://schemas.openxmlformats.org/officeDocument/2006/relationships" name="buy100_expert_11" sheetId="3" state="visible" r:id="rId3"/>
    <sheet xmlns:r="http://schemas.openxmlformats.org/officeDocument/2006/relationships" name="buy100_expert_12" sheetId="4" state="visible" r:id="rId4"/>
    <sheet xmlns:r="http://schemas.openxmlformats.org/officeDocument/2006/relationships" name="buy100_expert_13" sheetId="5" state="visible" r:id="rId5"/>
    <sheet xmlns:r="http://schemas.openxmlformats.org/officeDocument/2006/relationships" name="buy100_expert_14" sheetId="6" state="visible" r:id="rId6"/>
    <sheet xmlns:r="http://schemas.openxmlformats.org/officeDocument/2006/relationships" name="buy100_expert_15" sheetId="7" state="visible" r:id="rId7"/>
    <sheet xmlns:r="http://schemas.openxmlformats.org/officeDocument/2006/relationships" name="buy100_expert_16" sheetId="8" state="visible" r:id="rId8"/>
    <sheet xmlns:r="http://schemas.openxmlformats.org/officeDocument/2006/relationships" name="buy100_expert_8" sheetId="9" state="visible" r:id="rId9"/>
    <sheet xmlns:r="http://schemas.openxmlformats.org/officeDocument/2006/relationships" name="buy100_expert_9" sheetId="10" state="visible" r:id="rId10"/>
    <sheet xmlns:r="http://schemas.openxmlformats.org/officeDocument/2006/relationships" name="buy100_high_10" sheetId="11" state="visible" r:id="rId11"/>
    <sheet xmlns:r="http://schemas.openxmlformats.org/officeDocument/2006/relationships" name="buy100_high_11" sheetId="12" state="visible" r:id="rId12"/>
    <sheet xmlns:r="http://schemas.openxmlformats.org/officeDocument/2006/relationships" name="buy100_high_12" sheetId="13" state="visible" r:id="rId13"/>
    <sheet xmlns:r="http://schemas.openxmlformats.org/officeDocument/2006/relationships" name="buy100_high_13" sheetId="14" state="visible" r:id="rId14"/>
    <sheet xmlns:r="http://schemas.openxmlformats.org/officeDocument/2006/relationships" name="buy100_high_14" sheetId="15" state="visible" r:id="rId15"/>
    <sheet xmlns:r="http://schemas.openxmlformats.org/officeDocument/2006/relationships" name="buy100_high_15" sheetId="16" state="visible" r:id="rId16"/>
    <sheet xmlns:r="http://schemas.openxmlformats.org/officeDocument/2006/relationships" name="buy100_high_16" sheetId="17" state="visible" r:id="rId17"/>
    <sheet xmlns:r="http://schemas.openxmlformats.org/officeDocument/2006/relationships" name="buy100_high_8" sheetId="18" state="visible" r:id="rId18"/>
    <sheet xmlns:r="http://schemas.openxmlformats.org/officeDocument/2006/relationships" name="buy100_high_9" sheetId="19" state="visible" r:id="rId19"/>
    <sheet xmlns:r="http://schemas.openxmlformats.org/officeDocument/2006/relationships" name="buy100_low_10" sheetId="20" state="visible" r:id="rId20"/>
    <sheet xmlns:r="http://schemas.openxmlformats.org/officeDocument/2006/relationships" name="buy100_low_11" sheetId="21" state="visible" r:id="rId21"/>
    <sheet xmlns:r="http://schemas.openxmlformats.org/officeDocument/2006/relationships" name="buy100_low_12" sheetId="22" state="visible" r:id="rId22"/>
    <sheet xmlns:r="http://schemas.openxmlformats.org/officeDocument/2006/relationships" name="buy100_low_13" sheetId="23" state="visible" r:id="rId23"/>
    <sheet xmlns:r="http://schemas.openxmlformats.org/officeDocument/2006/relationships" name="buy100_low_14" sheetId="24" state="visible" r:id="rId24"/>
    <sheet xmlns:r="http://schemas.openxmlformats.org/officeDocument/2006/relationships" name="buy100_low_15" sheetId="25" state="visible" r:id="rId25"/>
    <sheet xmlns:r="http://schemas.openxmlformats.org/officeDocument/2006/relationships" name="buy100_low_16" sheetId="26" state="visible" r:id="rId26"/>
    <sheet xmlns:r="http://schemas.openxmlformats.org/officeDocument/2006/relationships" name="buy100_low_8" sheetId="27" state="visible" r:id="rId27"/>
    <sheet xmlns:r="http://schemas.openxmlformats.org/officeDocument/2006/relationships" name="buy100_low_9" sheetId="28" state="visible" r:id="rId28"/>
    <sheet xmlns:r="http://schemas.openxmlformats.org/officeDocument/2006/relationships" name="buy100_medium_10" sheetId="29" state="visible" r:id="rId29"/>
    <sheet xmlns:r="http://schemas.openxmlformats.org/officeDocument/2006/relationships" name="buy100_medium_11" sheetId="30" state="visible" r:id="rId30"/>
    <sheet xmlns:r="http://schemas.openxmlformats.org/officeDocument/2006/relationships" name="buy100_medium_12" sheetId="31" state="visible" r:id="rId31"/>
    <sheet xmlns:r="http://schemas.openxmlformats.org/officeDocument/2006/relationships" name="buy100_medium_13" sheetId="32" state="visible" r:id="rId32"/>
    <sheet xmlns:r="http://schemas.openxmlformats.org/officeDocument/2006/relationships" name="buy100_medium_14" sheetId="33" state="visible" r:id="rId33"/>
    <sheet xmlns:r="http://schemas.openxmlformats.org/officeDocument/2006/relationships" name="buy100_medium_15" sheetId="34" state="visible" r:id="rId34"/>
    <sheet xmlns:r="http://schemas.openxmlformats.org/officeDocument/2006/relationships" name="buy100_medium_16" sheetId="35" state="visible" r:id="rId35"/>
    <sheet xmlns:r="http://schemas.openxmlformats.org/officeDocument/2006/relationships" name="buy100_medium_8" sheetId="36" state="visible" r:id="rId36"/>
    <sheet xmlns:r="http://schemas.openxmlformats.org/officeDocument/2006/relationships" name="buy100_medium_9" sheetId="37" state="visible" r:id="rId37"/>
    <sheet xmlns:r="http://schemas.openxmlformats.org/officeDocument/2006/relationships" name="normal_expert_10" sheetId="38" state="visible" r:id="rId38"/>
    <sheet xmlns:r="http://schemas.openxmlformats.org/officeDocument/2006/relationships" name="normal_expert_11" sheetId="39" state="visible" r:id="rId39"/>
    <sheet xmlns:r="http://schemas.openxmlformats.org/officeDocument/2006/relationships" name="normal_expert_12" sheetId="40" state="visible" r:id="rId40"/>
    <sheet xmlns:r="http://schemas.openxmlformats.org/officeDocument/2006/relationships" name="normal_expert_13" sheetId="41" state="visible" r:id="rId41"/>
    <sheet xmlns:r="http://schemas.openxmlformats.org/officeDocument/2006/relationships" name="normal_expert_14" sheetId="42" state="visible" r:id="rId42"/>
    <sheet xmlns:r="http://schemas.openxmlformats.org/officeDocument/2006/relationships" name="normal_expert_15" sheetId="43" state="visible" r:id="rId43"/>
    <sheet xmlns:r="http://schemas.openxmlformats.org/officeDocument/2006/relationships" name="normal_expert_16" sheetId="44" state="visible" r:id="rId44"/>
    <sheet xmlns:r="http://schemas.openxmlformats.org/officeDocument/2006/relationships" name="normal_expert_8" sheetId="45" state="visible" r:id="rId45"/>
    <sheet xmlns:r="http://schemas.openxmlformats.org/officeDocument/2006/relationships" name="normal_expert_9" sheetId="46" state="visible" r:id="rId46"/>
    <sheet xmlns:r="http://schemas.openxmlformats.org/officeDocument/2006/relationships" name="normal_high_10" sheetId="47" state="visible" r:id="rId47"/>
    <sheet xmlns:r="http://schemas.openxmlformats.org/officeDocument/2006/relationships" name="normal_high_11" sheetId="48" state="visible" r:id="rId48"/>
    <sheet xmlns:r="http://schemas.openxmlformats.org/officeDocument/2006/relationships" name="normal_high_12" sheetId="49" state="visible" r:id="rId49"/>
    <sheet xmlns:r="http://schemas.openxmlformats.org/officeDocument/2006/relationships" name="normal_high_13" sheetId="50" state="visible" r:id="rId50"/>
    <sheet xmlns:r="http://schemas.openxmlformats.org/officeDocument/2006/relationships" name="normal_high_14" sheetId="51" state="visible" r:id="rId51"/>
    <sheet xmlns:r="http://schemas.openxmlformats.org/officeDocument/2006/relationships" name="normal_high_15" sheetId="52" state="visible" r:id="rId52"/>
    <sheet xmlns:r="http://schemas.openxmlformats.org/officeDocument/2006/relationships" name="normal_high_16" sheetId="53" state="visible" r:id="rId53"/>
    <sheet xmlns:r="http://schemas.openxmlformats.org/officeDocument/2006/relationships" name="normal_high_8" sheetId="54" state="visible" r:id="rId54"/>
    <sheet xmlns:r="http://schemas.openxmlformats.org/officeDocument/2006/relationships" name="normal_high_9" sheetId="55" state="visible" r:id="rId55"/>
    <sheet xmlns:r="http://schemas.openxmlformats.org/officeDocument/2006/relationships" name="normal_low_10" sheetId="56" state="visible" r:id="rId56"/>
    <sheet xmlns:r="http://schemas.openxmlformats.org/officeDocument/2006/relationships" name="normal_low_11" sheetId="57" state="visible" r:id="rId57"/>
    <sheet xmlns:r="http://schemas.openxmlformats.org/officeDocument/2006/relationships" name="normal_low_12" sheetId="58" state="visible" r:id="rId58"/>
    <sheet xmlns:r="http://schemas.openxmlformats.org/officeDocument/2006/relationships" name="normal_low_13" sheetId="59" state="visible" r:id="rId59"/>
    <sheet xmlns:r="http://schemas.openxmlformats.org/officeDocument/2006/relationships" name="normal_low_14" sheetId="60" state="visible" r:id="rId60"/>
    <sheet xmlns:r="http://schemas.openxmlformats.org/officeDocument/2006/relationships" name="normal_low_15" sheetId="61" state="visible" r:id="rId61"/>
    <sheet xmlns:r="http://schemas.openxmlformats.org/officeDocument/2006/relationships" name="normal_low_16" sheetId="62" state="visible" r:id="rId62"/>
    <sheet xmlns:r="http://schemas.openxmlformats.org/officeDocument/2006/relationships" name="normal_low_8" sheetId="63" state="visible" r:id="rId63"/>
    <sheet xmlns:r="http://schemas.openxmlformats.org/officeDocument/2006/relationships" name="normal_low_9" sheetId="64" state="visible" r:id="rId64"/>
    <sheet xmlns:r="http://schemas.openxmlformats.org/officeDocument/2006/relationships" name="normal_medium_10" sheetId="65" state="visible" r:id="rId65"/>
    <sheet xmlns:r="http://schemas.openxmlformats.org/officeDocument/2006/relationships" name="normal_medium_11" sheetId="66" state="visible" r:id="rId66"/>
    <sheet xmlns:r="http://schemas.openxmlformats.org/officeDocument/2006/relationships" name="normal_medium_12" sheetId="67" state="visible" r:id="rId67"/>
    <sheet xmlns:r="http://schemas.openxmlformats.org/officeDocument/2006/relationships" name="normal_medium_13" sheetId="68" state="visible" r:id="rId68"/>
    <sheet xmlns:r="http://schemas.openxmlformats.org/officeDocument/2006/relationships" name="normal_medium_14" sheetId="69" state="visible" r:id="rId69"/>
    <sheet xmlns:r="http://schemas.openxmlformats.org/officeDocument/2006/relationships" name="normal_medium_15" sheetId="70" state="visible" r:id="rId70"/>
    <sheet xmlns:r="http://schemas.openxmlformats.org/officeDocument/2006/relationships" name="normal_medium_16" sheetId="71" state="visible" r:id="rId71"/>
    <sheet xmlns:r="http://schemas.openxmlformats.org/officeDocument/2006/relationships" name="normal_medium_8" sheetId="72" state="visible" r:id="rId72"/>
    <sheet xmlns:r="http://schemas.openxmlformats.org/officeDocument/2006/relationships" name="normal_medium_9" sheetId="73" state="visible" r:id="rId73"/>
    <sheet xmlns:r="http://schemas.openxmlformats.org/officeDocument/2006/relationships" name="BinomialPVector" sheetId="74" state="visible" r:id="rId74"/>
    <sheet xmlns:r="http://schemas.openxmlformats.org/officeDocument/2006/relationships" name="TestVectors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B4C6E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6" customWidth="1" min="4" max="4"/>
    <col width="12" customWidth="1" min="5" max="5"/>
    <col width="16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20" customWidth="1" min="18" max="18"/>
    <col width="14" customWidth="1" min="19" max="19"/>
  </cols>
  <sheetData>
    <row r="1">
      <c r="A1" s="1" t="inlineStr">
        <is>
          <t>AzteckPlinkoBiased_audit_formulas Workbook</t>
        </is>
      </c>
    </row>
    <row r="2">
      <c r="A2" s="2" t="inlineStr">
        <is>
          <t>Generated from F:\Gaming\Stakes\math-sdk\games\azteck_plinko_biased_binomial</t>
        </is>
      </c>
    </row>
    <row r="4">
      <c r="A4" s="3" t="inlineStr">
        <is>
          <t>Package</t>
        </is>
      </c>
    </row>
    <row r="5">
      <c r="A5" s="4" t="inlineStr">
        <is>
          <t>Key</t>
        </is>
      </c>
      <c r="B5" s="4" t="inlineStr">
        <is>
          <t>Value</t>
        </is>
      </c>
    </row>
    <row r="6">
      <c r="A6" s="5" t="inlineStr">
        <is>
          <t>Root</t>
        </is>
      </c>
      <c r="B6" s="5" t="inlineStr">
        <is>
          <t>F:\Gaming\Stakes\math-sdk\games\azteck_plinko_biased_binomial</t>
        </is>
      </c>
    </row>
    <row r="7">
      <c r="A7" s="5" t="inlineStr">
        <is>
          <t>Index</t>
        </is>
      </c>
      <c r="B7" s="5" t="inlineStr">
        <is>
          <t>F:\Gaming\Stakes\math-sdk\games\azteck_plinko_biased_binomial\artifacts\publish_files\index.json</t>
        </is>
      </c>
    </row>
    <row r="8">
      <c r="A8" s="5" t="inlineStr">
        <is>
          <t>Lookup files</t>
        </is>
      </c>
      <c r="B8" s="5" t="n">
        <v>72</v>
      </c>
    </row>
    <row r="9">
      <c r="A9" s="5" t="inlineStr">
        <is>
          <t>Docs dir exists</t>
        </is>
      </c>
      <c r="B9" s="5" t="b">
        <v>1</v>
      </c>
    </row>
    <row r="10">
      <c r="A10" s="5" t="inlineStr">
        <is>
          <t>RTP tolerance</t>
        </is>
      </c>
      <c r="B10" s="5" t="n">
        <v>0.01</v>
      </c>
    </row>
    <row r="11">
      <c r="A11" s="5" t="inlineStr">
        <is>
          <t>Payout scale</t>
        </is>
      </c>
      <c r="B11" s="5" t="n">
        <v>100</v>
      </c>
    </row>
    <row r="12">
      <c r="A12" s="5" t="inlineStr">
        <is>
          <t>Max bet assumption</t>
        </is>
      </c>
      <c r="B12" s="5" t="n">
        <v>500</v>
      </c>
    </row>
    <row r="14">
      <c r="A14" s="3" t="inlineStr">
        <is>
          <t>Mode Metrics</t>
        </is>
      </c>
    </row>
    <row r="15">
      <c r="A15" s="6" t="inlineStr">
        <is>
          <t>Mode</t>
        </is>
      </c>
      <c r="B15" s="6" t="inlineStr">
        <is>
          <t>Cost</t>
        </is>
      </c>
      <c r="C15" s="6" t="inlineStr">
        <is>
          <t>Rows Config</t>
        </is>
      </c>
      <c r="D15" s="6" t="inlineStr">
        <is>
          <t>Expected Buckets</t>
        </is>
      </c>
      <c r="E15" s="6" t="inlineStr">
        <is>
          <t>Rows</t>
        </is>
      </c>
      <c r="F15" s="6" t="inlineStr">
        <is>
          <t>Unique Multipliers</t>
        </is>
      </c>
      <c r="G15" s="6" t="inlineStr">
        <is>
          <t>Bucket Structure Pass</t>
        </is>
      </c>
      <c r="H15" s="6" t="inlineStr">
        <is>
          <t>RTP Target</t>
        </is>
      </c>
      <c r="I15" s="6" t="inlineStr">
        <is>
          <t>RTP Actual</t>
        </is>
      </c>
      <c r="J15" s="6" t="inlineStr">
        <is>
          <t>Abs Drift</t>
        </is>
      </c>
      <c r="K15" s="6" t="inlineStr">
        <is>
          <t>RTP Pass</t>
        </is>
      </c>
      <c r="L15" s="6" t="inlineStr">
        <is>
          <t>Hit Rate</t>
        </is>
      </c>
      <c r="M15" s="6" t="inlineStr">
        <is>
          <t>Zero Rate</t>
        </is>
      </c>
      <c r="N15" s="6" t="inlineStr">
        <is>
          <t>Profit Rate</t>
        </is>
      </c>
      <c r="O15" s="6" t="inlineStr">
        <is>
          <t>Weighted Mean</t>
        </is>
      </c>
      <c r="P15" s="6" t="inlineStr">
        <is>
          <t>Std</t>
        </is>
      </c>
      <c r="Q15" s="6" t="inlineStr">
        <is>
          <t>Max Win</t>
        </is>
      </c>
      <c r="R15" s="6" t="inlineStr">
        <is>
          <t>Max Win Probability</t>
        </is>
      </c>
      <c r="S15" s="6" t="inlineStr">
        <is>
          <t>Max Exposure</t>
        </is>
      </c>
    </row>
    <row r="16">
      <c r="A16" s="5" t="inlineStr">
        <is>
          <t>buy100_expert_10</t>
        </is>
      </c>
      <c r="B16" s="5">
        <f>'buy100_expert_10'!$B$3</f>
        <v/>
      </c>
      <c r="C16" s="5" t="n">
        <v>10</v>
      </c>
      <c r="D16" s="5">
        <f>IF(C16="","",C16+1)</f>
        <v/>
      </c>
      <c r="E16" s="5">
        <f>'buy100_expert_10'!B24</f>
        <v/>
      </c>
      <c r="F16" s="5">
        <f>'buy100_expert_10'!B25</f>
        <v/>
      </c>
      <c r="G16" s="5">
        <f>IF(C16="","N/A",E16=D16)</f>
        <v/>
      </c>
      <c r="H16" s="5">
        <f>'buy100_expert_10'!$D$3</f>
        <v/>
      </c>
      <c r="I16" s="5">
        <f>'buy100_expert_10'!I19</f>
        <v/>
      </c>
      <c r="J16" s="5">
        <f>ABS(I16-H16)</f>
        <v/>
      </c>
      <c r="K16" s="7">
        <f>'buy100_expert_10'!J19</f>
        <v/>
      </c>
      <c r="L16" s="5">
        <f>SUMIFS('buy100_expert_10'!E7:E17,'buy100_expert_10'!D7:D17,"&gt;0")</f>
        <v/>
      </c>
      <c r="M16" s="5">
        <f>SUMIFS('buy100_expert_10'!E7:E17,'buy100_expert_10'!D7:D17,"=0")</f>
        <v/>
      </c>
      <c r="N16" s="5">
        <f>SUMIFS('buy100_expert_10'!E7:E17,'buy100_expert_10'!D7:D17,"&gt;"&amp;B16)</f>
        <v/>
      </c>
      <c r="O16" s="5">
        <f>'buy100_expert_10'!H19</f>
        <v/>
      </c>
      <c r="P16" s="5">
        <f>SQRT(SUMPRODUCT('buy100_expert_10'!E7:E17,('buy100_expert_10'!D7:D17-O16)^2))</f>
        <v/>
      </c>
      <c r="Q16" s="5">
        <f>'buy100_expert_10'!B22</f>
        <v/>
      </c>
      <c r="R16" s="5">
        <f>'buy100_expert_10'!B23</f>
        <v/>
      </c>
      <c r="S16" s="5">
        <f>'buy100_expert_10'!B26</f>
        <v/>
      </c>
    </row>
    <row r="17">
      <c r="A17" s="5" t="inlineStr">
        <is>
          <t>buy100_expert_11</t>
        </is>
      </c>
      <c r="B17" s="5">
        <f>'buy100_expert_11'!$B$3</f>
        <v/>
      </c>
      <c r="C17" s="5" t="n">
        <v>11</v>
      </c>
      <c r="D17" s="5">
        <f>IF(C17="","",C17+1)</f>
        <v/>
      </c>
      <c r="E17" s="5">
        <f>'buy100_expert_11'!B25</f>
        <v/>
      </c>
      <c r="F17" s="5">
        <f>'buy100_expert_11'!B26</f>
        <v/>
      </c>
      <c r="G17" s="5">
        <f>IF(C17="","N/A",E17=D17)</f>
        <v/>
      </c>
      <c r="H17" s="5">
        <f>'buy100_expert_11'!$D$3</f>
        <v/>
      </c>
      <c r="I17" s="5">
        <f>'buy100_expert_11'!I20</f>
        <v/>
      </c>
      <c r="J17" s="5">
        <f>ABS(I17-H17)</f>
        <v/>
      </c>
      <c r="K17" s="7">
        <f>'buy100_expert_11'!J20</f>
        <v/>
      </c>
      <c r="L17" s="5">
        <f>SUMIFS('buy100_expert_11'!E7:E18,'buy100_expert_11'!D7:D18,"&gt;0")</f>
        <v/>
      </c>
      <c r="M17" s="5">
        <f>SUMIFS('buy100_expert_11'!E7:E18,'buy100_expert_11'!D7:D18,"=0")</f>
        <v/>
      </c>
      <c r="N17" s="5">
        <f>SUMIFS('buy100_expert_11'!E7:E18,'buy100_expert_11'!D7:D18,"&gt;"&amp;B17)</f>
        <v/>
      </c>
      <c r="O17" s="5">
        <f>'buy100_expert_11'!H20</f>
        <v/>
      </c>
      <c r="P17" s="5">
        <f>SQRT(SUMPRODUCT('buy100_expert_11'!E7:E18,('buy100_expert_11'!D7:D18-O17)^2))</f>
        <v/>
      </c>
      <c r="Q17" s="5">
        <f>'buy100_expert_11'!B23</f>
        <v/>
      </c>
      <c r="R17" s="5">
        <f>'buy100_expert_11'!B24</f>
        <v/>
      </c>
      <c r="S17" s="5">
        <f>'buy100_expert_11'!B27</f>
        <v/>
      </c>
    </row>
    <row r="18">
      <c r="A18" s="5" t="inlineStr">
        <is>
          <t>buy100_expert_12</t>
        </is>
      </c>
      <c r="B18" s="5">
        <f>'buy100_expert_12'!$B$3</f>
        <v/>
      </c>
      <c r="C18" s="5" t="n">
        <v>12</v>
      </c>
      <c r="D18" s="5">
        <f>IF(C18="","",C18+1)</f>
        <v/>
      </c>
      <c r="E18" s="5">
        <f>'buy100_expert_12'!B26</f>
        <v/>
      </c>
      <c r="F18" s="5">
        <f>'buy100_expert_12'!B27</f>
        <v/>
      </c>
      <c r="G18" s="5">
        <f>IF(C18="","N/A",E18=D18)</f>
        <v/>
      </c>
      <c r="H18" s="5">
        <f>'buy100_expert_12'!$D$3</f>
        <v/>
      </c>
      <c r="I18" s="5">
        <f>'buy100_expert_12'!I21</f>
        <v/>
      </c>
      <c r="J18" s="5">
        <f>ABS(I18-H18)</f>
        <v/>
      </c>
      <c r="K18" s="7">
        <f>'buy100_expert_12'!J21</f>
        <v/>
      </c>
      <c r="L18" s="5">
        <f>SUMIFS('buy100_expert_12'!E7:E19,'buy100_expert_12'!D7:D19,"&gt;0")</f>
        <v/>
      </c>
      <c r="M18" s="5">
        <f>SUMIFS('buy100_expert_12'!E7:E19,'buy100_expert_12'!D7:D19,"=0")</f>
        <v/>
      </c>
      <c r="N18" s="5">
        <f>SUMIFS('buy100_expert_12'!E7:E19,'buy100_expert_12'!D7:D19,"&gt;"&amp;B18)</f>
        <v/>
      </c>
      <c r="O18" s="5">
        <f>'buy100_expert_12'!H21</f>
        <v/>
      </c>
      <c r="P18" s="5">
        <f>SQRT(SUMPRODUCT('buy100_expert_12'!E7:E19,('buy100_expert_12'!D7:D19-O18)^2))</f>
        <v/>
      </c>
      <c r="Q18" s="5">
        <f>'buy100_expert_12'!B24</f>
        <v/>
      </c>
      <c r="R18" s="5">
        <f>'buy100_expert_12'!B25</f>
        <v/>
      </c>
      <c r="S18" s="5">
        <f>'buy100_expert_12'!B28</f>
        <v/>
      </c>
    </row>
    <row r="19">
      <c r="A19" s="5" t="inlineStr">
        <is>
          <t>buy100_expert_13</t>
        </is>
      </c>
      <c r="B19" s="5">
        <f>'buy100_expert_13'!$B$3</f>
        <v/>
      </c>
      <c r="C19" s="5" t="n">
        <v>13</v>
      </c>
      <c r="D19" s="5">
        <f>IF(C19="","",C19+1)</f>
        <v/>
      </c>
      <c r="E19" s="5">
        <f>'buy100_expert_13'!B27</f>
        <v/>
      </c>
      <c r="F19" s="5">
        <f>'buy100_expert_13'!B28</f>
        <v/>
      </c>
      <c r="G19" s="5">
        <f>IF(C19="","N/A",E19=D19)</f>
        <v/>
      </c>
      <c r="H19" s="5">
        <f>'buy100_expert_13'!$D$3</f>
        <v/>
      </c>
      <c r="I19" s="5">
        <f>'buy100_expert_13'!I22</f>
        <v/>
      </c>
      <c r="J19" s="5">
        <f>ABS(I19-H19)</f>
        <v/>
      </c>
      <c r="K19" s="7">
        <f>'buy100_expert_13'!J22</f>
        <v/>
      </c>
      <c r="L19" s="5">
        <f>SUMIFS('buy100_expert_13'!E7:E20,'buy100_expert_13'!D7:D20,"&gt;0")</f>
        <v/>
      </c>
      <c r="M19" s="5">
        <f>SUMIFS('buy100_expert_13'!E7:E20,'buy100_expert_13'!D7:D20,"=0")</f>
        <v/>
      </c>
      <c r="N19" s="5">
        <f>SUMIFS('buy100_expert_13'!E7:E20,'buy100_expert_13'!D7:D20,"&gt;"&amp;B19)</f>
        <v/>
      </c>
      <c r="O19" s="5">
        <f>'buy100_expert_13'!H22</f>
        <v/>
      </c>
      <c r="P19" s="5">
        <f>SQRT(SUMPRODUCT('buy100_expert_13'!E7:E20,('buy100_expert_13'!D7:D20-O19)^2))</f>
        <v/>
      </c>
      <c r="Q19" s="5">
        <f>'buy100_expert_13'!B25</f>
        <v/>
      </c>
      <c r="R19" s="5">
        <f>'buy100_expert_13'!B26</f>
        <v/>
      </c>
      <c r="S19" s="5">
        <f>'buy100_expert_13'!B29</f>
        <v/>
      </c>
    </row>
    <row r="20">
      <c r="A20" s="5" t="inlineStr">
        <is>
          <t>buy100_expert_14</t>
        </is>
      </c>
      <c r="B20" s="5">
        <f>'buy100_expert_14'!$B$3</f>
        <v/>
      </c>
      <c r="C20" s="5" t="n">
        <v>14</v>
      </c>
      <c r="D20" s="5">
        <f>IF(C20="","",C20+1)</f>
        <v/>
      </c>
      <c r="E20" s="5">
        <f>'buy100_expert_14'!B28</f>
        <v/>
      </c>
      <c r="F20" s="5">
        <f>'buy100_expert_14'!B29</f>
        <v/>
      </c>
      <c r="G20" s="5">
        <f>IF(C20="","N/A",E20=D20)</f>
        <v/>
      </c>
      <c r="H20" s="5">
        <f>'buy100_expert_14'!$D$3</f>
        <v/>
      </c>
      <c r="I20" s="5">
        <f>'buy100_expert_14'!I23</f>
        <v/>
      </c>
      <c r="J20" s="5">
        <f>ABS(I20-H20)</f>
        <v/>
      </c>
      <c r="K20" s="7">
        <f>'buy100_expert_14'!J23</f>
        <v/>
      </c>
      <c r="L20" s="5">
        <f>SUMIFS('buy100_expert_14'!E7:E21,'buy100_expert_14'!D7:D21,"&gt;0")</f>
        <v/>
      </c>
      <c r="M20" s="5">
        <f>SUMIFS('buy100_expert_14'!E7:E21,'buy100_expert_14'!D7:D21,"=0")</f>
        <v/>
      </c>
      <c r="N20" s="5">
        <f>SUMIFS('buy100_expert_14'!E7:E21,'buy100_expert_14'!D7:D21,"&gt;"&amp;B20)</f>
        <v/>
      </c>
      <c r="O20" s="5">
        <f>'buy100_expert_14'!H23</f>
        <v/>
      </c>
      <c r="P20" s="5">
        <f>SQRT(SUMPRODUCT('buy100_expert_14'!E7:E21,('buy100_expert_14'!D7:D21-O20)^2))</f>
        <v/>
      </c>
      <c r="Q20" s="5">
        <f>'buy100_expert_14'!B26</f>
        <v/>
      </c>
      <c r="R20" s="5">
        <f>'buy100_expert_14'!B27</f>
        <v/>
      </c>
      <c r="S20" s="5">
        <f>'buy100_expert_14'!B30</f>
        <v/>
      </c>
    </row>
    <row r="21">
      <c r="A21" s="5" t="inlineStr">
        <is>
          <t>buy100_expert_15</t>
        </is>
      </c>
      <c r="B21" s="5">
        <f>'buy100_expert_15'!$B$3</f>
        <v/>
      </c>
      <c r="C21" s="5" t="n">
        <v>15</v>
      </c>
      <c r="D21" s="5">
        <f>IF(C21="","",C21+1)</f>
        <v/>
      </c>
      <c r="E21" s="5">
        <f>'buy100_expert_15'!B29</f>
        <v/>
      </c>
      <c r="F21" s="5">
        <f>'buy100_expert_15'!B30</f>
        <v/>
      </c>
      <c r="G21" s="5">
        <f>IF(C21="","N/A",E21=D21)</f>
        <v/>
      </c>
      <c r="H21" s="5">
        <f>'buy100_expert_15'!$D$3</f>
        <v/>
      </c>
      <c r="I21" s="5">
        <f>'buy100_expert_15'!I24</f>
        <v/>
      </c>
      <c r="J21" s="5">
        <f>ABS(I21-H21)</f>
        <v/>
      </c>
      <c r="K21" s="7">
        <f>'buy100_expert_15'!J24</f>
        <v/>
      </c>
      <c r="L21" s="5">
        <f>SUMIFS('buy100_expert_15'!E7:E22,'buy100_expert_15'!D7:D22,"&gt;0")</f>
        <v/>
      </c>
      <c r="M21" s="5">
        <f>SUMIFS('buy100_expert_15'!E7:E22,'buy100_expert_15'!D7:D22,"=0")</f>
        <v/>
      </c>
      <c r="N21" s="5">
        <f>SUMIFS('buy100_expert_15'!E7:E22,'buy100_expert_15'!D7:D22,"&gt;"&amp;B21)</f>
        <v/>
      </c>
      <c r="O21" s="5">
        <f>'buy100_expert_15'!H24</f>
        <v/>
      </c>
      <c r="P21" s="5">
        <f>SQRT(SUMPRODUCT('buy100_expert_15'!E7:E22,('buy100_expert_15'!D7:D22-O21)^2))</f>
        <v/>
      </c>
      <c r="Q21" s="5">
        <f>'buy100_expert_15'!B27</f>
        <v/>
      </c>
      <c r="R21" s="5">
        <f>'buy100_expert_15'!B28</f>
        <v/>
      </c>
      <c r="S21" s="5">
        <f>'buy100_expert_15'!B31</f>
        <v/>
      </c>
    </row>
    <row r="22">
      <c r="A22" s="5" t="inlineStr">
        <is>
          <t>buy100_expert_16</t>
        </is>
      </c>
      <c r="B22" s="5">
        <f>'buy100_expert_16'!$B$3</f>
        <v/>
      </c>
      <c r="C22" s="5" t="n">
        <v>16</v>
      </c>
      <c r="D22" s="5">
        <f>IF(C22="","",C22+1)</f>
        <v/>
      </c>
      <c r="E22" s="5">
        <f>'buy100_expert_16'!B30</f>
        <v/>
      </c>
      <c r="F22" s="5">
        <f>'buy100_expert_16'!B31</f>
        <v/>
      </c>
      <c r="G22" s="5">
        <f>IF(C22="","N/A",E22=D22)</f>
        <v/>
      </c>
      <c r="H22" s="5">
        <f>'buy100_expert_16'!$D$3</f>
        <v/>
      </c>
      <c r="I22" s="5">
        <f>'buy100_expert_16'!I25</f>
        <v/>
      </c>
      <c r="J22" s="5">
        <f>ABS(I22-H22)</f>
        <v/>
      </c>
      <c r="K22" s="7">
        <f>'buy100_expert_16'!J25</f>
        <v/>
      </c>
      <c r="L22" s="5">
        <f>SUMIFS('buy100_expert_16'!E7:E23,'buy100_expert_16'!D7:D23,"&gt;0")</f>
        <v/>
      </c>
      <c r="M22" s="5">
        <f>SUMIFS('buy100_expert_16'!E7:E23,'buy100_expert_16'!D7:D23,"=0")</f>
        <v/>
      </c>
      <c r="N22" s="5">
        <f>SUMIFS('buy100_expert_16'!E7:E23,'buy100_expert_16'!D7:D23,"&gt;"&amp;B22)</f>
        <v/>
      </c>
      <c r="O22" s="5">
        <f>'buy100_expert_16'!H25</f>
        <v/>
      </c>
      <c r="P22" s="5">
        <f>SQRT(SUMPRODUCT('buy100_expert_16'!E7:E23,('buy100_expert_16'!D7:D23-O22)^2))</f>
        <v/>
      </c>
      <c r="Q22" s="5">
        <f>'buy100_expert_16'!B28</f>
        <v/>
      </c>
      <c r="R22" s="5">
        <f>'buy100_expert_16'!B29</f>
        <v/>
      </c>
      <c r="S22" s="5">
        <f>'buy100_expert_16'!B32</f>
        <v/>
      </c>
    </row>
    <row r="23">
      <c r="A23" s="5" t="inlineStr">
        <is>
          <t>buy100_expert_8</t>
        </is>
      </c>
      <c r="B23" s="5">
        <f>'buy100_expert_8'!$B$3</f>
        <v/>
      </c>
      <c r="C23" s="5" t="n">
        <v>8</v>
      </c>
      <c r="D23" s="5">
        <f>IF(C23="","",C23+1)</f>
        <v/>
      </c>
      <c r="E23" s="5">
        <f>'buy100_expert_8'!B22</f>
        <v/>
      </c>
      <c r="F23" s="5">
        <f>'buy100_expert_8'!B23</f>
        <v/>
      </c>
      <c r="G23" s="5">
        <f>IF(C23="","N/A",E23=D23)</f>
        <v/>
      </c>
      <c r="H23" s="5">
        <f>'buy100_expert_8'!$D$3</f>
        <v/>
      </c>
      <c r="I23" s="5">
        <f>'buy100_expert_8'!I17</f>
        <v/>
      </c>
      <c r="J23" s="5">
        <f>ABS(I23-H23)</f>
        <v/>
      </c>
      <c r="K23" s="7">
        <f>'buy100_expert_8'!J17</f>
        <v/>
      </c>
      <c r="L23" s="5">
        <f>SUMIFS('buy100_expert_8'!E7:E15,'buy100_expert_8'!D7:D15,"&gt;0")</f>
        <v/>
      </c>
      <c r="M23" s="5">
        <f>SUMIFS('buy100_expert_8'!E7:E15,'buy100_expert_8'!D7:D15,"=0")</f>
        <v/>
      </c>
      <c r="N23" s="5">
        <f>SUMIFS('buy100_expert_8'!E7:E15,'buy100_expert_8'!D7:D15,"&gt;"&amp;B23)</f>
        <v/>
      </c>
      <c r="O23" s="5">
        <f>'buy100_expert_8'!H17</f>
        <v/>
      </c>
      <c r="P23" s="5">
        <f>SQRT(SUMPRODUCT('buy100_expert_8'!E7:E15,('buy100_expert_8'!D7:D15-O23)^2))</f>
        <v/>
      </c>
      <c r="Q23" s="5">
        <f>'buy100_expert_8'!B20</f>
        <v/>
      </c>
      <c r="R23" s="5">
        <f>'buy100_expert_8'!B21</f>
        <v/>
      </c>
      <c r="S23" s="5">
        <f>'buy100_expert_8'!B24</f>
        <v/>
      </c>
    </row>
    <row r="24">
      <c r="A24" s="5" t="inlineStr">
        <is>
          <t>buy100_expert_9</t>
        </is>
      </c>
      <c r="B24" s="5">
        <f>'buy100_expert_9'!$B$3</f>
        <v/>
      </c>
      <c r="C24" s="5" t="n">
        <v>9</v>
      </c>
      <c r="D24" s="5">
        <f>IF(C24="","",C24+1)</f>
        <v/>
      </c>
      <c r="E24" s="5">
        <f>'buy100_expert_9'!B23</f>
        <v/>
      </c>
      <c r="F24" s="5">
        <f>'buy100_expert_9'!B24</f>
        <v/>
      </c>
      <c r="G24" s="5">
        <f>IF(C24="","N/A",E24=D24)</f>
        <v/>
      </c>
      <c r="H24" s="5">
        <f>'buy100_expert_9'!$D$3</f>
        <v/>
      </c>
      <c r="I24" s="5">
        <f>'buy100_expert_9'!I18</f>
        <v/>
      </c>
      <c r="J24" s="5">
        <f>ABS(I24-H24)</f>
        <v/>
      </c>
      <c r="K24" s="7">
        <f>'buy100_expert_9'!J18</f>
        <v/>
      </c>
      <c r="L24" s="5">
        <f>SUMIFS('buy100_expert_9'!E7:E16,'buy100_expert_9'!D7:D16,"&gt;0")</f>
        <v/>
      </c>
      <c r="M24" s="5">
        <f>SUMIFS('buy100_expert_9'!E7:E16,'buy100_expert_9'!D7:D16,"=0")</f>
        <v/>
      </c>
      <c r="N24" s="5">
        <f>SUMIFS('buy100_expert_9'!E7:E16,'buy100_expert_9'!D7:D16,"&gt;"&amp;B24)</f>
        <v/>
      </c>
      <c r="O24" s="5">
        <f>'buy100_expert_9'!H18</f>
        <v/>
      </c>
      <c r="P24" s="5">
        <f>SQRT(SUMPRODUCT('buy100_expert_9'!E7:E16,('buy100_expert_9'!D7:D16-O24)^2))</f>
        <v/>
      </c>
      <c r="Q24" s="5">
        <f>'buy100_expert_9'!B21</f>
        <v/>
      </c>
      <c r="R24" s="5">
        <f>'buy100_expert_9'!B22</f>
        <v/>
      </c>
      <c r="S24" s="5">
        <f>'buy100_expert_9'!B25</f>
        <v/>
      </c>
    </row>
    <row r="25">
      <c r="A25" s="5" t="inlineStr">
        <is>
          <t>buy100_high_10</t>
        </is>
      </c>
      <c r="B25" s="5">
        <f>'buy100_high_10'!$B$3</f>
        <v/>
      </c>
      <c r="C25" s="5" t="n">
        <v>10</v>
      </c>
      <c r="D25" s="5">
        <f>IF(C25="","",C25+1)</f>
        <v/>
      </c>
      <c r="E25" s="5">
        <f>'buy100_high_10'!B24</f>
        <v/>
      </c>
      <c r="F25" s="5">
        <f>'buy100_high_10'!B25</f>
        <v/>
      </c>
      <c r="G25" s="5">
        <f>IF(C25="","N/A",E25=D25)</f>
        <v/>
      </c>
      <c r="H25" s="5">
        <f>'buy100_high_10'!$D$3</f>
        <v/>
      </c>
      <c r="I25" s="5">
        <f>'buy100_high_10'!I19</f>
        <v/>
      </c>
      <c r="J25" s="5">
        <f>ABS(I25-H25)</f>
        <v/>
      </c>
      <c r="K25" s="7">
        <f>'buy100_high_10'!J19</f>
        <v/>
      </c>
      <c r="L25" s="5">
        <f>SUMIFS('buy100_high_10'!E7:E17,'buy100_high_10'!D7:D17,"&gt;0")</f>
        <v/>
      </c>
      <c r="M25" s="5">
        <f>SUMIFS('buy100_high_10'!E7:E17,'buy100_high_10'!D7:D17,"=0")</f>
        <v/>
      </c>
      <c r="N25" s="5">
        <f>SUMIFS('buy100_high_10'!E7:E17,'buy100_high_10'!D7:D17,"&gt;"&amp;B25)</f>
        <v/>
      </c>
      <c r="O25" s="5">
        <f>'buy100_high_10'!H19</f>
        <v/>
      </c>
      <c r="P25" s="5">
        <f>SQRT(SUMPRODUCT('buy100_high_10'!E7:E17,('buy100_high_10'!D7:D17-O25)^2))</f>
        <v/>
      </c>
      <c r="Q25" s="5">
        <f>'buy100_high_10'!B22</f>
        <v/>
      </c>
      <c r="R25" s="5">
        <f>'buy100_high_10'!B23</f>
        <v/>
      </c>
      <c r="S25" s="5">
        <f>'buy100_high_10'!B26</f>
        <v/>
      </c>
    </row>
    <row r="26">
      <c r="A26" s="5" t="inlineStr">
        <is>
          <t>buy100_high_11</t>
        </is>
      </c>
      <c r="B26" s="5">
        <f>'buy100_high_11'!$B$3</f>
        <v/>
      </c>
      <c r="C26" s="5" t="n">
        <v>11</v>
      </c>
      <c r="D26" s="5">
        <f>IF(C26="","",C26+1)</f>
        <v/>
      </c>
      <c r="E26" s="5">
        <f>'buy100_high_11'!B25</f>
        <v/>
      </c>
      <c r="F26" s="5">
        <f>'buy100_high_11'!B26</f>
        <v/>
      </c>
      <c r="G26" s="5">
        <f>IF(C26="","N/A",E26=D26)</f>
        <v/>
      </c>
      <c r="H26" s="5">
        <f>'buy100_high_11'!$D$3</f>
        <v/>
      </c>
      <c r="I26" s="5">
        <f>'buy100_high_11'!I20</f>
        <v/>
      </c>
      <c r="J26" s="5">
        <f>ABS(I26-H26)</f>
        <v/>
      </c>
      <c r="K26" s="7">
        <f>'buy100_high_11'!J20</f>
        <v/>
      </c>
      <c r="L26" s="5">
        <f>SUMIFS('buy100_high_11'!E7:E18,'buy100_high_11'!D7:D18,"&gt;0")</f>
        <v/>
      </c>
      <c r="M26" s="5">
        <f>SUMIFS('buy100_high_11'!E7:E18,'buy100_high_11'!D7:D18,"=0")</f>
        <v/>
      </c>
      <c r="N26" s="5">
        <f>SUMIFS('buy100_high_11'!E7:E18,'buy100_high_11'!D7:D18,"&gt;"&amp;B26)</f>
        <v/>
      </c>
      <c r="O26" s="5">
        <f>'buy100_high_11'!H20</f>
        <v/>
      </c>
      <c r="P26" s="5">
        <f>SQRT(SUMPRODUCT('buy100_high_11'!E7:E18,('buy100_high_11'!D7:D18-O26)^2))</f>
        <v/>
      </c>
      <c r="Q26" s="5">
        <f>'buy100_high_11'!B23</f>
        <v/>
      </c>
      <c r="R26" s="5">
        <f>'buy100_high_11'!B24</f>
        <v/>
      </c>
      <c r="S26" s="5">
        <f>'buy100_high_11'!B27</f>
        <v/>
      </c>
    </row>
    <row r="27">
      <c r="A27" s="5" t="inlineStr">
        <is>
          <t>buy100_high_12</t>
        </is>
      </c>
      <c r="B27" s="5">
        <f>'buy100_high_12'!$B$3</f>
        <v/>
      </c>
      <c r="C27" s="5" t="n">
        <v>12</v>
      </c>
      <c r="D27" s="5">
        <f>IF(C27="","",C27+1)</f>
        <v/>
      </c>
      <c r="E27" s="5">
        <f>'buy100_high_12'!B26</f>
        <v/>
      </c>
      <c r="F27" s="5">
        <f>'buy100_high_12'!B27</f>
        <v/>
      </c>
      <c r="G27" s="5">
        <f>IF(C27="","N/A",E27=D27)</f>
        <v/>
      </c>
      <c r="H27" s="5">
        <f>'buy100_high_12'!$D$3</f>
        <v/>
      </c>
      <c r="I27" s="5">
        <f>'buy100_high_12'!I21</f>
        <v/>
      </c>
      <c r="J27" s="5">
        <f>ABS(I27-H27)</f>
        <v/>
      </c>
      <c r="K27" s="7">
        <f>'buy100_high_12'!J21</f>
        <v/>
      </c>
      <c r="L27" s="5">
        <f>SUMIFS('buy100_high_12'!E7:E19,'buy100_high_12'!D7:D19,"&gt;0")</f>
        <v/>
      </c>
      <c r="M27" s="5">
        <f>SUMIFS('buy100_high_12'!E7:E19,'buy100_high_12'!D7:D19,"=0")</f>
        <v/>
      </c>
      <c r="N27" s="5">
        <f>SUMIFS('buy100_high_12'!E7:E19,'buy100_high_12'!D7:D19,"&gt;"&amp;B27)</f>
        <v/>
      </c>
      <c r="O27" s="5">
        <f>'buy100_high_12'!H21</f>
        <v/>
      </c>
      <c r="P27" s="5">
        <f>SQRT(SUMPRODUCT('buy100_high_12'!E7:E19,('buy100_high_12'!D7:D19-O27)^2))</f>
        <v/>
      </c>
      <c r="Q27" s="5">
        <f>'buy100_high_12'!B24</f>
        <v/>
      </c>
      <c r="R27" s="5">
        <f>'buy100_high_12'!B25</f>
        <v/>
      </c>
      <c r="S27" s="5">
        <f>'buy100_high_12'!B28</f>
        <v/>
      </c>
    </row>
    <row r="28">
      <c r="A28" s="5" t="inlineStr">
        <is>
          <t>buy100_high_13</t>
        </is>
      </c>
      <c r="B28" s="5">
        <f>'buy100_high_13'!$B$3</f>
        <v/>
      </c>
      <c r="C28" s="5" t="n">
        <v>13</v>
      </c>
      <c r="D28" s="5">
        <f>IF(C28="","",C28+1)</f>
        <v/>
      </c>
      <c r="E28" s="5">
        <f>'buy100_high_13'!B27</f>
        <v/>
      </c>
      <c r="F28" s="5">
        <f>'buy100_high_13'!B28</f>
        <v/>
      </c>
      <c r="G28" s="5">
        <f>IF(C28="","N/A",E28=D28)</f>
        <v/>
      </c>
      <c r="H28" s="5">
        <f>'buy100_high_13'!$D$3</f>
        <v/>
      </c>
      <c r="I28" s="5">
        <f>'buy100_high_13'!I22</f>
        <v/>
      </c>
      <c r="J28" s="5">
        <f>ABS(I28-H28)</f>
        <v/>
      </c>
      <c r="K28" s="7">
        <f>'buy100_high_13'!J22</f>
        <v/>
      </c>
      <c r="L28" s="5">
        <f>SUMIFS('buy100_high_13'!E7:E20,'buy100_high_13'!D7:D20,"&gt;0")</f>
        <v/>
      </c>
      <c r="M28" s="5">
        <f>SUMIFS('buy100_high_13'!E7:E20,'buy100_high_13'!D7:D20,"=0")</f>
        <v/>
      </c>
      <c r="N28" s="5">
        <f>SUMIFS('buy100_high_13'!E7:E20,'buy100_high_13'!D7:D20,"&gt;"&amp;B28)</f>
        <v/>
      </c>
      <c r="O28" s="5">
        <f>'buy100_high_13'!H22</f>
        <v/>
      </c>
      <c r="P28" s="5">
        <f>SQRT(SUMPRODUCT('buy100_high_13'!E7:E20,('buy100_high_13'!D7:D20-O28)^2))</f>
        <v/>
      </c>
      <c r="Q28" s="5">
        <f>'buy100_high_13'!B25</f>
        <v/>
      </c>
      <c r="R28" s="5">
        <f>'buy100_high_13'!B26</f>
        <v/>
      </c>
      <c r="S28" s="5">
        <f>'buy100_high_13'!B29</f>
        <v/>
      </c>
    </row>
    <row r="29">
      <c r="A29" s="5" t="inlineStr">
        <is>
          <t>buy100_high_14</t>
        </is>
      </c>
      <c r="B29" s="5">
        <f>'buy100_high_14'!$B$3</f>
        <v/>
      </c>
      <c r="C29" s="5" t="n">
        <v>14</v>
      </c>
      <c r="D29" s="5">
        <f>IF(C29="","",C29+1)</f>
        <v/>
      </c>
      <c r="E29" s="5">
        <f>'buy100_high_14'!B28</f>
        <v/>
      </c>
      <c r="F29" s="5">
        <f>'buy100_high_14'!B29</f>
        <v/>
      </c>
      <c r="G29" s="5">
        <f>IF(C29="","N/A",E29=D29)</f>
        <v/>
      </c>
      <c r="H29" s="5">
        <f>'buy100_high_14'!$D$3</f>
        <v/>
      </c>
      <c r="I29" s="5">
        <f>'buy100_high_14'!I23</f>
        <v/>
      </c>
      <c r="J29" s="5">
        <f>ABS(I29-H29)</f>
        <v/>
      </c>
      <c r="K29" s="7">
        <f>'buy100_high_14'!J23</f>
        <v/>
      </c>
      <c r="L29" s="5">
        <f>SUMIFS('buy100_high_14'!E7:E21,'buy100_high_14'!D7:D21,"&gt;0")</f>
        <v/>
      </c>
      <c r="M29" s="5">
        <f>SUMIFS('buy100_high_14'!E7:E21,'buy100_high_14'!D7:D21,"=0")</f>
        <v/>
      </c>
      <c r="N29" s="5">
        <f>SUMIFS('buy100_high_14'!E7:E21,'buy100_high_14'!D7:D21,"&gt;"&amp;B29)</f>
        <v/>
      </c>
      <c r="O29" s="5">
        <f>'buy100_high_14'!H23</f>
        <v/>
      </c>
      <c r="P29" s="5">
        <f>SQRT(SUMPRODUCT('buy100_high_14'!E7:E21,('buy100_high_14'!D7:D21-O29)^2))</f>
        <v/>
      </c>
      <c r="Q29" s="5">
        <f>'buy100_high_14'!B26</f>
        <v/>
      </c>
      <c r="R29" s="5">
        <f>'buy100_high_14'!B27</f>
        <v/>
      </c>
      <c r="S29" s="5">
        <f>'buy100_high_14'!B30</f>
        <v/>
      </c>
    </row>
    <row r="30">
      <c r="A30" s="5" t="inlineStr">
        <is>
          <t>buy100_high_15</t>
        </is>
      </c>
      <c r="B30" s="5">
        <f>'buy100_high_15'!$B$3</f>
        <v/>
      </c>
      <c r="C30" s="5" t="n">
        <v>15</v>
      </c>
      <c r="D30" s="5">
        <f>IF(C30="","",C30+1)</f>
        <v/>
      </c>
      <c r="E30" s="5">
        <f>'buy100_high_15'!B29</f>
        <v/>
      </c>
      <c r="F30" s="5">
        <f>'buy100_high_15'!B30</f>
        <v/>
      </c>
      <c r="G30" s="5">
        <f>IF(C30="","N/A",E30=D30)</f>
        <v/>
      </c>
      <c r="H30" s="5">
        <f>'buy100_high_15'!$D$3</f>
        <v/>
      </c>
      <c r="I30" s="5">
        <f>'buy100_high_15'!I24</f>
        <v/>
      </c>
      <c r="J30" s="5">
        <f>ABS(I30-H30)</f>
        <v/>
      </c>
      <c r="K30" s="7">
        <f>'buy100_high_15'!J24</f>
        <v/>
      </c>
      <c r="L30" s="5">
        <f>SUMIFS('buy100_high_15'!E7:E22,'buy100_high_15'!D7:D22,"&gt;0")</f>
        <v/>
      </c>
      <c r="M30" s="5">
        <f>SUMIFS('buy100_high_15'!E7:E22,'buy100_high_15'!D7:D22,"=0")</f>
        <v/>
      </c>
      <c r="N30" s="5">
        <f>SUMIFS('buy100_high_15'!E7:E22,'buy100_high_15'!D7:D22,"&gt;"&amp;B30)</f>
        <v/>
      </c>
      <c r="O30" s="5">
        <f>'buy100_high_15'!H24</f>
        <v/>
      </c>
      <c r="P30" s="5">
        <f>SQRT(SUMPRODUCT('buy100_high_15'!E7:E22,('buy100_high_15'!D7:D22-O30)^2))</f>
        <v/>
      </c>
      <c r="Q30" s="5">
        <f>'buy100_high_15'!B27</f>
        <v/>
      </c>
      <c r="R30" s="5">
        <f>'buy100_high_15'!B28</f>
        <v/>
      </c>
      <c r="S30" s="5">
        <f>'buy100_high_15'!B31</f>
        <v/>
      </c>
    </row>
    <row r="31">
      <c r="A31" s="5" t="inlineStr">
        <is>
          <t>buy100_high_16</t>
        </is>
      </c>
      <c r="B31" s="5">
        <f>'buy100_high_16'!$B$3</f>
        <v/>
      </c>
      <c r="C31" s="5" t="n">
        <v>16</v>
      </c>
      <c r="D31" s="5">
        <f>IF(C31="","",C31+1)</f>
        <v/>
      </c>
      <c r="E31" s="5">
        <f>'buy100_high_16'!B30</f>
        <v/>
      </c>
      <c r="F31" s="5">
        <f>'buy100_high_16'!B31</f>
        <v/>
      </c>
      <c r="G31" s="5">
        <f>IF(C31="","N/A",E31=D31)</f>
        <v/>
      </c>
      <c r="H31" s="5">
        <f>'buy100_high_16'!$D$3</f>
        <v/>
      </c>
      <c r="I31" s="5">
        <f>'buy100_high_16'!I25</f>
        <v/>
      </c>
      <c r="J31" s="5">
        <f>ABS(I31-H31)</f>
        <v/>
      </c>
      <c r="K31" s="7">
        <f>'buy100_high_16'!J25</f>
        <v/>
      </c>
      <c r="L31" s="5">
        <f>SUMIFS('buy100_high_16'!E7:E23,'buy100_high_16'!D7:D23,"&gt;0")</f>
        <v/>
      </c>
      <c r="M31" s="5">
        <f>SUMIFS('buy100_high_16'!E7:E23,'buy100_high_16'!D7:D23,"=0")</f>
        <v/>
      </c>
      <c r="N31" s="5">
        <f>SUMIFS('buy100_high_16'!E7:E23,'buy100_high_16'!D7:D23,"&gt;"&amp;B31)</f>
        <v/>
      </c>
      <c r="O31" s="5">
        <f>'buy100_high_16'!H25</f>
        <v/>
      </c>
      <c r="P31" s="5">
        <f>SQRT(SUMPRODUCT('buy100_high_16'!E7:E23,('buy100_high_16'!D7:D23-O31)^2))</f>
        <v/>
      </c>
      <c r="Q31" s="5">
        <f>'buy100_high_16'!B28</f>
        <v/>
      </c>
      <c r="R31" s="5">
        <f>'buy100_high_16'!B29</f>
        <v/>
      </c>
      <c r="S31" s="5">
        <f>'buy100_high_16'!B32</f>
        <v/>
      </c>
    </row>
    <row r="32">
      <c r="A32" s="5" t="inlineStr">
        <is>
          <t>buy100_high_8</t>
        </is>
      </c>
      <c r="B32" s="5">
        <f>'buy100_high_8'!$B$3</f>
        <v/>
      </c>
      <c r="C32" s="5" t="n">
        <v>8</v>
      </c>
      <c r="D32" s="5">
        <f>IF(C32="","",C32+1)</f>
        <v/>
      </c>
      <c r="E32" s="5">
        <f>'buy100_high_8'!B22</f>
        <v/>
      </c>
      <c r="F32" s="5">
        <f>'buy100_high_8'!B23</f>
        <v/>
      </c>
      <c r="G32" s="5">
        <f>IF(C32="","N/A",E32=D32)</f>
        <v/>
      </c>
      <c r="H32" s="5">
        <f>'buy100_high_8'!$D$3</f>
        <v/>
      </c>
      <c r="I32" s="5">
        <f>'buy100_high_8'!I17</f>
        <v/>
      </c>
      <c r="J32" s="5">
        <f>ABS(I32-H32)</f>
        <v/>
      </c>
      <c r="K32" s="7">
        <f>'buy100_high_8'!J17</f>
        <v/>
      </c>
      <c r="L32" s="5">
        <f>SUMIFS('buy100_high_8'!E7:E15,'buy100_high_8'!D7:D15,"&gt;0")</f>
        <v/>
      </c>
      <c r="M32" s="5">
        <f>SUMIFS('buy100_high_8'!E7:E15,'buy100_high_8'!D7:D15,"=0")</f>
        <v/>
      </c>
      <c r="N32" s="5">
        <f>SUMIFS('buy100_high_8'!E7:E15,'buy100_high_8'!D7:D15,"&gt;"&amp;B32)</f>
        <v/>
      </c>
      <c r="O32" s="5">
        <f>'buy100_high_8'!H17</f>
        <v/>
      </c>
      <c r="P32" s="5">
        <f>SQRT(SUMPRODUCT('buy100_high_8'!E7:E15,('buy100_high_8'!D7:D15-O32)^2))</f>
        <v/>
      </c>
      <c r="Q32" s="5">
        <f>'buy100_high_8'!B20</f>
        <v/>
      </c>
      <c r="R32" s="5">
        <f>'buy100_high_8'!B21</f>
        <v/>
      </c>
      <c r="S32" s="5">
        <f>'buy100_high_8'!B24</f>
        <v/>
      </c>
    </row>
    <row r="33">
      <c r="A33" s="5" t="inlineStr">
        <is>
          <t>buy100_high_9</t>
        </is>
      </c>
      <c r="B33" s="5">
        <f>'buy100_high_9'!$B$3</f>
        <v/>
      </c>
      <c r="C33" s="5" t="n">
        <v>9</v>
      </c>
      <c r="D33" s="5">
        <f>IF(C33="","",C33+1)</f>
        <v/>
      </c>
      <c r="E33" s="5">
        <f>'buy100_high_9'!B23</f>
        <v/>
      </c>
      <c r="F33" s="5">
        <f>'buy100_high_9'!B24</f>
        <v/>
      </c>
      <c r="G33" s="5">
        <f>IF(C33="","N/A",E33=D33)</f>
        <v/>
      </c>
      <c r="H33" s="5">
        <f>'buy100_high_9'!$D$3</f>
        <v/>
      </c>
      <c r="I33" s="5">
        <f>'buy100_high_9'!I18</f>
        <v/>
      </c>
      <c r="J33" s="5">
        <f>ABS(I33-H33)</f>
        <v/>
      </c>
      <c r="K33" s="7">
        <f>'buy100_high_9'!J18</f>
        <v/>
      </c>
      <c r="L33" s="5">
        <f>SUMIFS('buy100_high_9'!E7:E16,'buy100_high_9'!D7:D16,"&gt;0")</f>
        <v/>
      </c>
      <c r="M33" s="5">
        <f>SUMIFS('buy100_high_9'!E7:E16,'buy100_high_9'!D7:D16,"=0")</f>
        <v/>
      </c>
      <c r="N33" s="5">
        <f>SUMIFS('buy100_high_9'!E7:E16,'buy100_high_9'!D7:D16,"&gt;"&amp;B33)</f>
        <v/>
      </c>
      <c r="O33" s="5">
        <f>'buy100_high_9'!H18</f>
        <v/>
      </c>
      <c r="P33" s="5">
        <f>SQRT(SUMPRODUCT('buy100_high_9'!E7:E16,('buy100_high_9'!D7:D16-O33)^2))</f>
        <v/>
      </c>
      <c r="Q33" s="5">
        <f>'buy100_high_9'!B21</f>
        <v/>
      </c>
      <c r="R33" s="5">
        <f>'buy100_high_9'!B22</f>
        <v/>
      </c>
      <c r="S33" s="5">
        <f>'buy100_high_9'!B25</f>
        <v/>
      </c>
    </row>
    <row r="34">
      <c r="A34" s="5" t="inlineStr">
        <is>
          <t>buy100_low_10</t>
        </is>
      </c>
      <c r="B34" s="5">
        <f>'buy100_low_10'!$B$3</f>
        <v/>
      </c>
      <c r="C34" s="5" t="n">
        <v>10</v>
      </c>
      <c r="D34" s="5">
        <f>IF(C34="","",C34+1)</f>
        <v/>
      </c>
      <c r="E34" s="5">
        <f>'buy100_low_10'!B24</f>
        <v/>
      </c>
      <c r="F34" s="5">
        <f>'buy100_low_10'!B25</f>
        <v/>
      </c>
      <c r="G34" s="5">
        <f>IF(C34="","N/A",E34=D34)</f>
        <v/>
      </c>
      <c r="H34" s="5">
        <f>'buy100_low_10'!$D$3</f>
        <v/>
      </c>
      <c r="I34" s="5">
        <f>'buy100_low_10'!I19</f>
        <v/>
      </c>
      <c r="J34" s="5">
        <f>ABS(I34-H34)</f>
        <v/>
      </c>
      <c r="K34" s="7">
        <f>'buy100_low_10'!J19</f>
        <v/>
      </c>
      <c r="L34" s="5">
        <f>SUMIFS('buy100_low_10'!E7:E17,'buy100_low_10'!D7:D17,"&gt;0")</f>
        <v/>
      </c>
      <c r="M34" s="5">
        <f>SUMIFS('buy100_low_10'!E7:E17,'buy100_low_10'!D7:D17,"=0")</f>
        <v/>
      </c>
      <c r="N34" s="5">
        <f>SUMIFS('buy100_low_10'!E7:E17,'buy100_low_10'!D7:D17,"&gt;"&amp;B34)</f>
        <v/>
      </c>
      <c r="O34" s="5">
        <f>'buy100_low_10'!H19</f>
        <v/>
      </c>
      <c r="P34" s="5">
        <f>SQRT(SUMPRODUCT('buy100_low_10'!E7:E17,('buy100_low_10'!D7:D17-O34)^2))</f>
        <v/>
      </c>
      <c r="Q34" s="5">
        <f>'buy100_low_10'!B22</f>
        <v/>
      </c>
      <c r="R34" s="5">
        <f>'buy100_low_10'!B23</f>
        <v/>
      </c>
      <c r="S34" s="5">
        <f>'buy100_low_10'!B26</f>
        <v/>
      </c>
    </row>
    <row r="35">
      <c r="A35" s="5" t="inlineStr">
        <is>
          <t>buy100_low_11</t>
        </is>
      </c>
      <c r="B35" s="5">
        <f>'buy100_low_11'!$B$3</f>
        <v/>
      </c>
      <c r="C35" s="5" t="n">
        <v>11</v>
      </c>
      <c r="D35" s="5">
        <f>IF(C35="","",C35+1)</f>
        <v/>
      </c>
      <c r="E35" s="5">
        <f>'buy100_low_11'!B25</f>
        <v/>
      </c>
      <c r="F35" s="5">
        <f>'buy100_low_11'!B26</f>
        <v/>
      </c>
      <c r="G35" s="5">
        <f>IF(C35="","N/A",E35=D35)</f>
        <v/>
      </c>
      <c r="H35" s="5">
        <f>'buy100_low_11'!$D$3</f>
        <v/>
      </c>
      <c r="I35" s="5">
        <f>'buy100_low_11'!I20</f>
        <v/>
      </c>
      <c r="J35" s="5">
        <f>ABS(I35-H35)</f>
        <v/>
      </c>
      <c r="K35" s="7">
        <f>'buy100_low_11'!J20</f>
        <v/>
      </c>
      <c r="L35" s="5">
        <f>SUMIFS('buy100_low_11'!E7:E18,'buy100_low_11'!D7:D18,"&gt;0")</f>
        <v/>
      </c>
      <c r="M35" s="5">
        <f>SUMIFS('buy100_low_11'!E7:E18,'buy100_low_11'!D7:D18,"=0")</f>
        <v/>
      </c>
      <c r="N35" s="5">
        <f>SUMIFS('buy100_low_11'!E7:E18,'buy100_low_11'!D7:D18,"&gt;"&amp;B35)</f>
        <v/>
      </c>
      <c r="O35" s="5">
        <f>'buy100_low_11'!H20</f>
        <v/>
      </c>
      <c r="P35" s="5">
        <f>SQRT(SUMPRODUCT('buy100_low_11'!E7:E18,('buy100_low_11'!D7:D18-O35)^2))</f>
        <v/>
      </c>
      <c r="Q35" s="5">
        <f>'buy100_low_11'!B23</f>
        <v/>
      </c>
      <c r="R35" s="5">
        <f>'buy100_low_11'!B24</f>
        <v/>
      </c>
      <c r="S35" s="5">
        <f>'buy100_low_11'!B27</f>
        <v/>
      </c>
    </row>
    <row r="36">
      <c r="A36" s="5" t="inlineStr">
        <is>
          <t>buy100_low_12</t>
        </is>
      </c>
      <c r="B36" s="5">
        <f>'buy100_low_12'!$B$3</f>
        <v/>
      </c>
      <c r="C36" s="5" t="n">
        <v>12</v>
      </c>
      <c r="D36" s="5">
        <f>IF(C36="","",C36+1)</f>
        <v/>
      </c>
      <c r="E36" s="5">
        <f>'buy100_low_12'!B26</f>
        <v/>
      </c>
      <c r="F36" s="5">
        <f>'buy100_low_12'!B27</f>
        <v/>
      </c>
      <c r="G36" s="5">
        <f>IF(C36="","N/A",E36=D36)</f>
        <v/>
      </c>
      <c r="H36" s="5">
        <f>'buy100_low_12'!$D$3</f>
        <v/>
      </c>
      <c r="I36" s="5">
        <f>'buy100_low_12'!I21</f>
        <v/>
      </c>
      <c r="J36" s="5">
        <f>ABS(I36-H36)</f>
        <v/>
      </c>
      <c r="K36" s="7">
        <f>'buy100_low_12'!J21</f>
        <v/>
      </c>
      <c r="L36" s="5">
        <f>SUMIFS('buy100_low_12'!E7:E19,'buy100_low_12'!D7:D19,"&gt;0")</f>
        <v/>
      </c>
      <c r="M36" s="5">
        <f>SUMIFS('buy100_low_12'!E7:E19,'buy100_low_12'!D7:D19,"=0")</f>
        <v/>
      </c>
      <c r="N36" s="5">
        <f>SUMIFS('buy100_low_12'!E7:E19,'buy100_low_12'!D7:D19,"&gt;"&amp;B36)</f>
        <v/>
      </c>
      <c r="O36" s="5">
        <f>'buy100_low_12'!H21</f>
        <v/>
      </c>
      <c r="P36" s="5">
        <f>SQRT(SUMPRODUCT('buy100_low_12'!E7:E19,('buy100_low_12'!D7:D19-O36)^2))</f>
        <v/>
      </c>
      <c r="Q36" s="5">
        <f>'buy100_low_12'!B24</f>
        <v/>
      </c>
      <c r="R36" s="5">
        <f>'buy100_low_12'!B25</f>
        <v/>
      </c>
      <c r="S36" s="5">
        <f>'buy100_low_12'!B28</f>
        <v/>
      </c>
    </row>
    <row r="37">
      <c r="A37" s="5" t="inlineStr">
        <is>
          <t>buy100_low_13</t>
        </is>
      </c>
      <c r="B37" s="5">
        <f>'buy100_low_13'!$B$3</f>
        <v/>
      </c>
      <c r="C37" s="5" t="n">
        <v>13</v>
      </c>
      <c r="D37" s="5">
        <f>IF(C37="","",C37+1)</f>
        <v/>
      </c>
      <c r="E37" s="5">
        <f>'buy100_low_13'!B27</f>
        <v/>
      </c>
      <c r="F37" s="5">
        <f>'buy100_low_13'!B28</f>
        <v/>
      </c>
      <c r="G37" s="5">
        <f>IF(C37="","N/A",E37=D37)</f>
        <v/>
      </c>
      <c r="H37" s="5">
        <f>'buy100_low_13'!$D$3</f>
        <v/>
      </c>
      <c r="I37" s="5">
        <f>'buy100_low_13'!I22</f>
        <v/>
      </c>
      <c r="J37" s="5">
        <f>ABS(I37-H37)</f>
        <v/>
      </c>
      <c r="K37" s="7">
        <f>'buy100_low_13'!J22</f>
        <v/>
      </c>
      <c r="L37" s="5">
        <f>SUMIFS('buy100_low_13'!E7:E20,'buy100_low_13'!D7:D20,"&gt;0")</f>
        <v/>
      </c>
      <c r="M37" s="5">
        <f>SUMIFS('buy100_low_13'!E7:E20,'buy100_low_13'!D7:D20,"=0")</f>
        <v/>
      </c>
      <c r="N37" s="5">
        <f>SUMIFS('buy100_low_13'!E7:E20,'buy100_low_13'!D7:D20,"&gt;"&amp;B37)</f>
        <v/>
      </c>
      <c r="O37" s="5">
        <f>'buy100_low_13'!H22</f>
        <v/>
      </c>
      <c r="P37" s="5">
        <f>SQRT(SUMPRODUCT('buy100_low_13'!E7:E20,('buy100_low_13'!D7:D20-O37)^2))</f>
        <v/>
      </c>
      <c r="Q37" s="5">
        <f>'buy100_low_13'!B25</f>
        <v/>
      </c>
      <c r="R37" s="5">
        <f>'buy100_low_13'!B26</f>
        <v/>
      </c>
      <c r="S37" s="5">
        <f>'buy100_low_13'!B29</f>
        <v/>
      </c>
    </row>
    <row r="38">
      <c r="A38" s="5" t="inlineStr">
        <is>
          <t>buy100_low_14</t>
        </is>
      </c>
      <c r="B38" s="5">
        <f>'buy100_low_14'!$B$3</f>
        <v/>
      </c>
      <c r="C38" s="5" t="n">
        <v>14</v>
      </c>
      <c r="D38" s="5">
        <f>IF(C38="","",C38+1)</f>
        <v/>
      </c>
      <c r="E38" s="5">
        <f>'buy100_low_14'!B28</f>
        <v/>
      </c>
      <c r="F38" s="5">
        <f>'buy100_low_14'!B29</f>
        <v/>
      </c>
      <c r="G38" s="5">
        <f>IF(C38="","N/A",E38=D38)</f>
        <v/>
      </c>
      <c r="H38" s="5">
        <f>'buy100_low_14'!$D$3</f>
        <v/>
      </c>
      <c r="I38" s="5">
        <f>'buy100_low_14'!I23</f>
        <v/>
      </c>
      <c r="J38" s="5">
        <f>ABS(I38-H38)</f>
        <v/>
      </c>
      <c r="K38" s="7">
        <f>'buy100_low_14'!J23</f>
        <v/>
      </c>
      <c r="L38" s="5">
        <f>SUMIFS('buy100_low_14'!E7:E21,'buy100_low_14'!D7:D21,"&gt;0")</f>
        <v/>
      </c>
      <c r="M38" s="5">
        <f>SUMIFS('buy100_low_14'!E7:E21,'buy100_low_14'!D7:D21,"=0")</f>
        <v/>
      </c>
      <c r="N38" s="5">
        <f>SUMIFS('buy100_low_14'!E7:E21,'buy100_low_14'!D7:D21,"&gt;"&amp;B38)</f>
        <v/>
      </c>
      <c r="O38" s="5">
        <f>'buy100_low_14'!H23</f>
        <v/>
      </c>
      <c r="P38" s="5">
        <f>SQRT(SUMPRODUCT('buy100_low_14'!E7:E21,('buy100_low_14'!D7:D21-O38)^2))</f>
        <v/>
      </c>
      <c r="Q38" s="5">
        <f>'buy100_low_14'!B26</f>
        <v/>
      </c>
      <c r="R38" s="5">
        <f>'buy100_low_14'!B27</f>
        <v/>
      </c>
      <c r="S38" s="5">
        <f>'buy100_low_14'!B30</f>
        <v/>
      </c>
    </row>
    <row r="39">
      <c r="A39" s="5" t="inlineStr">
        <is>
          <t>buy100_low_15</t>
        </is>
      </c>
      <c r="B39" s="5">
        <f>'buy100_low_15'!$B$3</f>
        <v/>
      </c>
      <c r="C39" s="5" t="n">
        <v>15</v>
      </c>
      <c r="D39" s="5">
        <f>IF(C39="","",C39+1)</f>
        <v/>
      </c>
      <c r="E39" s="5">
        <f>'buy100_low_15'!B29</f>
        <v/>
      </c>
      <c r="F39" s="5">
        <f>'buy100_low_15'!B30</f>
        <v/>
      </c>
      <c r="G39" s="5">
        <f>IF(C39="","N/A",E39=D39)</f>
        <v/>
      </c>
      <c r="H39" s="5">
        <f>'buy100_low_15'!$D$3</f>
        <v/>
      </c>
      <c r="I39" s="5">
        <f>'buy100_low_15'!I24</f>
        <v/>
      </c>
      <c r="J39" s="5">
        <f>ABS(I39-H39)</f>
        <v/>
      </c>
      <c r="K39" s="7">
        <f>'buy100_low_15'!J24</f>
        <v/>
      </c>
      <c r="L39" s="5">
        <f>SUMIFS('buy100_low_15'!E7:E22,'buy100_low_15'!D7:D22,"&gt;0")</f>
        <v/>
      </c>
      <c r="M39" s="5">
        <f>SUMIFS('buy100_low_15'!E7:E22,'buy100_low_15'!D7:D22,"=0")</f>
        <v/>
      </c>
      <c r="N39" s="5">
        <f>SUMIFS('buy100_low_15'!E7:E22,'buy100_low_15'!D7:D22,"&gt;"&amp;B39)</f>
        <v/>
      </c>
      <c r="O39" s="5">
        <f>'buy100_low_15'!H24</f>
        <v/>
      </c>
      <c r="P39" s="5">
        <f>SQRT(SUMPRODUCT('buy100_low_15'!E7:E22,('buy100_low_15'!D7:D22-O39)^2))</f>
        <v/>
      </c>
      <c r="Q39" s="5">
        <f>'buy100_low_15'!B27</f>
        <v/>
      </c>
      <c r="R39" s="5">
        <f>'buy100_low_15'!B28</f>
        <v/>
      </c>
      <c r="S39" s="5">
        <f>'buy100_low_15'!B31</f>
        <v/>
      </c>
    </row>
    <row r="40">
      <c r="A40" s="5" t="inlineStr">
        <is>
          <t>buy100_low_16</t>
        </is>
      </c>
      <c r="B40" s="5">
        <f>'buy100_low_16'!$B$3</f>
        <v/>
      </c>
      <c r="C40" s="5" t="n">
        <v>16</v>
      </c>
      <c r="D40" s="5">
        <f>IF(C40="","",C40+1)</f>
        <v/>
      </c>
      <c r="E40" s="5">
        <f>'buy100_low_16'!B30</f>
        <v/>
      </c>
      <c r="F40" s="5">
        <f>'buy100_low_16'!B31</f>
        <v/>
      </c>
      <c r="G40" s="5">
        <f>IF(C40="","N/A",E40=D40)</f>
        <v/>
      </c>
      <c r="H40" s="5">
        <f>'buy100_low_16'!$D$3</f>
        <v/>
      </c>
      <c r="I40" s="5">
        <f>'buy100_low_16'!I25</f>
        <v/>
      </c>
      <c r="J40" s="5">
        <f>ABS(I40-H40)</f>
        <v/>
      </c>
      <c r="K40" s="7">
        <f>'buy100_low_16'!J25</f>
        <v/>
      </c>
      <c r="L40" s="5">
        <f>SUMIFS('buy100_low_16'!E7:E23,'buy100_low_16'!D7:D23,"&gt;0")</f>
        <v/>
      </c>
      <c r="M40" s="5">
        <f>SUMIFS('buy100_low_16'!E7:E23,'buy100_low_16'!D7:D23,"=0")</f>
        <v/>
      </c>
      <c r="N40" s="5">
        <f>SUMIFS('buy100_low_16'!E7:E23,'buy100_low_16'!D7:D23,"&gt;"&amp;B40)</f>
        <v/>
      </c>
      <c r="O40" s="5">
        <f>'buy100_low_16'!H25</f>
        <v/>
      </c>
      <c r="P40" s="5">
        <f>SQRT(SUMPRODUCT('buy100_low_16'!E7:E23,('buy100_low_16'!D7:D23-O40)^2))</f>
        <v/>
      </c>
      <c r="Q40" s="5">
        <f>'buy100_low_16'!B28</f>
        <v/>
      </c>
      <c r="R40" s="5">
        <f>'buy100_low_16'!B29</f>
        <v/>
      </c>
      <c r="S40" s="5">
        <f>'buy100_low_16'!B32</f>
        <v/>
      </c>
    </row>
    <row r="41">
      <c r="A41" s="5" t="inlineStr">
        <is>
          <t>buy100_low_8</t>
        </is>
      </c>
      <c r="B41" s="5">
        <f>'buy100_low_8'!$B$3</f>
        <v/>
      </c>
      <c r="C41" s="5" t="n">
        <v>8</v>
      </c>
      <c r="D41" s="5">
        <f>IF(C41="","",C41+1)</f>
        <v/>
      </c>
      <c r="E41" s="5">
        <f>'buy100_low_8'!B22</f>
        <v/>
      </c>
      <c r="F41" s="5">
        <f>'buy100_low_8'!B23</f>
        <v/>
      </c>
      <c r="G41" s="5">
        <f>IF(C41="","N/A",E41=D41)</f>
        <v/>
      </c>
      <c r="H41" s="5">
        <f>'buy100_low_8'!$D$3</f>
        <v/>
      </c>
      <c r="I41" s="5">
        <f>'buy100_low_8'!I17</f>
        <v/>
      </c>
      <c r="J41" s="5">
        <f>ABS(I41-H41)</f>
        <v/>
      </c>
      <c r="K41" s="7">
        <f>'buy100_low_8'!J17</f>
        <v/>
      </c>
      <c r="L41" s="5">
        <f>SUMIFS('buy100_low_8'!E7:E15,'buy100_low_8'!D7:D15,"&gt;0")</f>
        <v/>
      </c>
      <c r="M41" s="5">
        <f>SUMIFS('buy100_low_8'!E7:E15,'buy100_low_8'!D7:D15,"=0")</f>
        <v/>
      </c>
      <c r="N41" s="5">
        <f>SUMIFS('buy100_low_8'!E7:E15,'buy100_low_8'!D7:D15,"&gt;"&amp;B41)</f>
        <v/>
      </c>
      <c r="O41" s="5">
        <f>'buy100_low_8'!H17</f>
        <v/>
      </c>
      <c r="P41" s="5">
        <f>SQRT(SUMPRODUCT('buy100_low_8'!E7:E15,('buy100_low_8'!D7:D15-O41)^2))</f>
        <v/>
      </c>
      <c r="Q41" s="5">
        <f>'buy100_low_8'!B20</f>
        <v/>
      </c>
      <c r="R41" s="5">
        <f>'buy100_low_8'!B21</f>
        <v/>
      </c>
      <c r="S41" s="5">
        <f>'buy100_low_8'!B24</f>
        <v/>
      </c>
    </row>
    <row r="42">
      <c r="A42" s="5" t="inlineStr">
        <is>
          <t>buy100_low_9</t>
        </is>
      </c>
      <c r="B42" s="5">
        <f>'buy100_low_9'!$B$3</f>
        <v/>
      </c>
      <c r="C42" s="5" t="n">
        <v>9</v>
      </c>
      <c r="D42" s="5">
        <f>IF(C42="","",C42+1)</f>
        <v/>
      </c>
      <c r="E42" s="5">
        <f>'buy100_low_9'!B23</f>
        <v/>
      </c>
      <c r="F42" s="5">
        <f>'buy100_low_9'!B24</f>
        <v/>
      </c>
      <c r="G42" s="5">
        <f>IF(C42="","N/A",E42=D42)</f>
        <v/>
      </c>
      <c r="H42" s="5">
        <f>'buy100_low_9'!$D$3</f>
        <v/>
      </c>
      <c r="I42" s="5">
        <f>'buy100_low_9'!I18</f>
        <v/>
      </c>
      <c r="J42" s="5">
        <f>ABS(I42-H42)</f>
        <v/>
      </c>
      <c r="K42" s="7">
        <f>'buy100_low_9'!J18</f>
        <v/>
      </c>
      <c r="L42" s="5">
        <f>SUMIFS('buy100_low_9'!E7:E16,'buy100_low_9'!D7:D16,"&gt;0")</f>
        <v/>
      </c>
      <c r="M42" s="5">
        <f>SUMIFS('buy100_low_9'!E7:E16,'buy100_low_9'!D7:D16,"=0")</f>
        <v/>
      </c>
      <c r="N42" s="5">
        <f>SUMIFS('buy100_low_9'!E7:E16,'buy100_low_9'!D7:D16,"&gt;"&amp;B42)</f>
        <v/>
      </c>
      <c r="O42" s="5">
        <f>'buy100_low_9'!H18</f>
        <v/>
      </c>
      <c r="P42" s="5">
        <f>SQRT(SUMPRODUCT('buy100_low_9'!E7:E16,('buy100_low_9'!D7:D16-O42)^2))</f>
        <v/>
      </c>
      <c r="Q42" s="5">
        <f>'buy100_low_9'!B21</f>
        <v/>
      </c>
      <c r="R42" s="5">
        <f>'buy100_low_9'!B22</f>
        <v/>
      </c>
      <c r="S42" s="5">
        <f>'buy100_low_9'!B25</f>
        <v/>
      </c>
    </row>
    <row r="43">
      <c r="A43" s="5" t="inlineStr">
        <is>
          <t>buy100_medium_10</t>
        </is>
      </c>
      <c r="B43" s="5">
        <f>'buy100_medium_10'!$B$3</f>
        <v/>
      </c>
      <c r="C43" s="5" t="n">
        <v>10</v>
      </c>
      <c r="D43" s="5">
        <f>IF(C43="","",C43+1)</f>
        <v/>
      </c>
      <c r="E43" s="5">
        <f>'buy100_medium_10'!B24</f>
        <v/>
      </c>
      <c r="F43" s="5">
        <f>'buy100_medium_10'!B25</f>
        <v/>
      </c>
      <c r="G43" s="5">
        <f>IF(C43="","N/A",E43=D43)</f>
        <v/>
      </c>
      <c r="H43" s="5">
        <f>'buy100_medium_10'!$D$3</f>
        <v/>
      </c>
      <c r="I43" s="5">
        <f>'buy100_medium_10'!I19</f>
        <v/>
      </c>
      <c r="J43" s="5">
        <f>ABS(I43-H43)</f>
        <v/>
      </c>
      <c r="K43" s="7">
        <f>'buy100_medium_10'!J19</f>
        <v/>
      </c>
      <c r="L43" s="5">
        <f>SUMIFS('buy100_medium_10'!E7:E17,'buy100_medium_10'!D7:D17,"&gt;0")</f>
        <v/>
      </c>
      <c r="M43" s="5">
        <f>SUMIFS('buy100_medium_10'!E7:E17,'buy100_medium_10'!D7:D17,"=0")</f>
        <v/>
      </c>
      <c r="N43" s="5">
        <f>SUMIFS('buy100_medium_10'!E7:E17,'buy100_medium_10'!D7:D17,"&gt;"&amp;B43)</f>
        <v/>
      </c>
      <c r="O43" s="5">
        <f>'buy100_medium_10'!H19</f>
        <v/>
      </c>
      <c r="P43" s="5">
        <f>SQRT(SUMPRODUCT('buy100_medium_10'!E7:E17,('buy100_medium_10'!D7:D17-O43)^2))</f>
        <v/>
      </c>
      <c r="Q43" s="5">
        <f>'buy100_medium_10'!B22</f>
        <v/>
      </c>
      <c r="R43" s="5">
        <f>'buy100_medium_10'!B23</f>
        <v/>
      </c>
      <c r="S43" s="5">
        <f>'buy100_medium_10'!B26</f>
        <v/>
      </c>
    </row>
    <row r="44">
      <c r="A44" s="5" t="inlineStr">
        <is>
          <t>buy100_medium_11</t>
        </is>
      </c>
      <c r="B44" s="5">
        <f>'buy100_medium_11'!$B$3</f>
        <v/>
      </c>
      <c r="C44" s="5" t="n">
        <v>11</v>
      </c>
      <c r="D44" s="5">
        <f>IF(C44="","",C44+1)</f>
        <v/>
      </c>
      <c r="E44" s="5">
        <f>'buy100_medium_11'!B25</f>
        <v/>
      </c>
      <c r="F44" s="5">
        <f>'buy100_medium_11'!B26</f>
        <v/>
      </c>
      <c r="G44" s="5">
        <f>IF(C44="","N/A",E44=D44)</f>
        <v/>
      </c>
      <c r="H44" s="5">
        <f>'buy100_medium_11'!$D$3</f>
        <v/>
      </c>
      <c r="I44" s="5">
        <f>'buy100_medium_11'!I20</f>
        <v/>
      </c>
      <c r="J44" s="5">
        <f>ABS(I44-H44)</f>
        <v/>
      </c>
      <c r="K44" s="7">
        <f>'buy100_medium_11'!J20</f>
        <v/>
      </c>
      <c r="L44" s="5">
        <f>SUMIFS('buy100_medium_11'!E7:E18,'buy100_medium_11'!D7:D18,"&gt;0")</f>
        <v/>
      </c>
      <c r="M44" s="5">
        <f>SUMIFS('buy100_medium_11'!E7:E18,'buy100_medium_11'!D7:D18,"=0")</f>
        <v/>
      </c>
      <c r="N44" s="5">
        <f>SUMIFS('buy100_medium_11'!E7:E18,'buy100_medium_11'!D7:D18,"&gt;"&amp;B44)</f>
        <v/>
      </c>
      <c r="O44" s="5">
        <f>'buy100_medium_11'!H20</f>
        <v/>
      </c>
      <c r="P44" s="5">
        <f>SQRT(SUMPRODUCT('buy100_medium_11'!E7:E18,('buy100_medium_11'!D7:D18-O44)^2))</f>
        <v/>
      </c>
      <c r="Q44" s="5">
        <f>'buy100_medium_11'!B23</f>
        <v/>
      </c>
      <c r="R44" s="5">
        <f>'buy100_medium_11'!B24</f>
        <v/>
      </c>
      <c r="S44" s="5">
        <f>'buy100_medium_11'!B27</f>
        <v/>
      </c>
    </row>
    <row r="45">
      <c r="A45" s="5" t="inlineStr">
        <is>
          <t>buy100_medium_12</t>
        </is>
      </c>
      <c r="B45" s="5">
        <f>'buy100_medium_12'!$B$3</f>
        <v/>
      </c>
      <c r="C45" s="5" t="n">
        <v>12</v>
      </c>
      <c r="D45" s="5">
        <f>IF(C45="","",C45+1)</f>
        <v/>
      </c>
      <c r="E45" s="5">
        <f>'buy100_medium_12'!B26</f>
        <v/>
      </c>
      <c r="F45" s="5">
        <f>'buy100_medium_12'!B27</f>
        <v/>
      </c>
      <c r="G45" s="5">
        <f>IF(C45="","N/A",E45=D45)</f>
        <v/>
      </c>
      <c r="H45" s="5">
        <f>'buy100_medium_12'!$D$3</f>
        <v/>
      </c>
      <c r="I45" s="5">
        <f>'buy100_medium_12'!I21</f>
        <v/>
      </c>
      <c r="J45" s="5">
        <f>ABS(I45-H45)</f>
        <v/>
      </c>
      <c r="K45" s="7">
        <f>'buy100_medium_12'!J21</f>
        <v/>
      </c>
      <c r="L45" s="5">
        <f>SUMIFS('buy100_medium_12'!E7:E19,'buy100_medium_12'!D7:D19,"&gt;0")</f>
        <v/>
      </c>
      <c r="M45" s="5">
        <f>SUMIFS('buy100_medium_12'!E7:E19,'buy100_medium_12'!D7:D19,"=0")</f>
        <v/>
      </c>
      <c r="N45" s="5">
        <f>SUMIFS('buy100_medium_12'!E7:E19,'buy100_medium_12'!D7:D19,"&gt;"&amp;B45)</f>
        <v/>
      </c>
      <c r="O45" s="5">
        <f>'buy100_medium_12'!H21</f>
        <v/>
      </c>
      <c r="P45" s="5">
        <f>SQRT(SUMPRODUCT('buy100_medium_12'!E7:E19,('buy100_medium_12'!D7:D19-O45)^2))</f>
        <v/>
      </c>
      <c r="Q45" s="5">
        <f>'buy100_medium_12'!B24</f>
        <v/>
      </c>
      <c r="R45" s="5">
        <f>'buy100_medium_12'!B25</f>
        <v/>
      </c>
      <c r="S45" s="5">
        <f>'buy100_medium_12'!B28</f>
        <v/>
      </c>
    </row>
    <row r="46">
      <c r="A46" s="5" t="inlineStr">
        <is>
          <t>buy100_medium_13</t>
        </is>
      </c>
      <c r="B46" s="5">
        <f>'buy100_medium_13'!$B$3</f>
        <v/>
      </c>
      <c r="C46" s="5" t="n">
        <v>13</v>
      </c>
      <c r="D46" s="5">
        <f>IF(C46="","",C46+1)</f>
        <v/>
      </c>
      <c r="E46" s="5">
        <f>'buy100_medium_13'!B27</f>
        <v/>
      </c>
      <c r="F46" s="5">
        <f>'buy100_medium_13'!B28</f>
        <v/>
      </c>
      <c r="G46" s="5">
        <f>IF(C46="","N/A",E46=D46)</f>
        <v/>
      </c>
      <c r="H46" s="5">
        <f>'buy100_medium_13'!$D$3</f>
        <v/>
      </c>
      <c r="I46" s="5">
        <f>'buy100_medium_13'!I22</f>
        <v/>
      </c>
      <c r="J46" s="5">
        <f>ABS(I46-H46)</f>
        <v/>
      </c>
      <c r="K46" s="7">
        <f>'buy100_medium_13'!J22</f>
        <v/>
      </c>
      <c r="L46" s="5">
        <f>SUMIFS('buy100_medium_13'!E7:E20,'buy100_medium_13'!D7:D20,"&gt;0")</f>
        <v/>
      </c>
      <c r="M46" s="5">
        <f>SUMIFS('buy100_medium_13'!E7:E20,'buy100_medium_13'!D7:D20,"=0")</f>
        <v/>
      </c>
      <c r="N46" s="5">
        <f>SUMIFS('buy100_medium_13'!E7:E20,'buy100_medium_13'!D7:D20,"&gt;"&amp;B46)</f>
        <v/>
      </c>
      <c r="O46" s="5">
        <f>'buy100_medium_13'!H22</f>
        <v/>
      </c>
      <c r="P46" s="5">
        <f>SQRT(SUMPRODUCT('buy100_medium_13'!E7:E20,('buy100_medium_13'!D7:D20-O46)^2))</f>
        <v/>
      </c>
      <c r="Q46" s="5">
        <f>'buy100_medium_13'!B25</f>
        <v/>
      </c>
      <c r="R46" s="5">
        <f>'buy100_medium_13'!B26</f>
        <v/>
      </c>
      <c r="S46" s="5">
        <f>'buy100_medium_13'!B29</f>
        <v/>
      </c>
    </row>
    <row r="47">
      <c r="A47" s="5" t="inlineStr">
        <is>
          <t>buy100_medium_14</t>
        </is>
      </c>
      <c r="B47" s="5">
        <f>'buy100_medium_14'!$B$3</f>
        <v/>
      </c>
      <c r="C47" s="5" t="n">
        <v>14</v>
      </c>
      <c r="D47" s="5">
        <f>IF(C47="","",C47+1)</f>
        <v/>
      </c>
      <c r="E47" s="5">
        <f>'buy100_medium_14'!B28</f>
        <v/>
      </c>
      <c r="F47" s="5">
        <f>'buy100_medium_14'!B29</f>
        <v/>
      </c>
      <c r="G47" s="5">
        <f>IF(C47="","N/A",E47=D47)</f>
        <v/>
      </c>
      <c r="H47" s="5">
        <f>'buy100_medium_14'!$D$3</f>
        <v/>
      </c>
      <c r="I47" s="5">
        <f>'buy100_medium_14'!I23</f>
        <v/>
      </c>
      <c r="J47" s="5">
        <f>ABS(I47-H47)</f>
        <v/>
      </c>
      <c r="K47" s="7">
        <f>'buy100_medium_14'!J23</f>
        <v/>
      </c>
      <c r="L47" s="5">
        <f>SUMIFS('buy100_medium_14'!E7:E21,'buy100_medium_14'!D7:D21,"&gt;0")</f>
        <v/>
      </c>
      <c r="M47" s="5">
        <f>SUMIFS('buy100_medium_14'!E7:E21,'buy100_medium_14'!D7:D21,"=0")</f>
        <v/>
      </c>
      <c r="N47" s="5">
        <f>SUMIFS('buy100_medium_14'!E7:E21,'buy100_medium_14'!D7:D21,"&gt;"&amp;B47)</f>
        <v/>
      </c>
      <c r="O47" s="5">
        <f>'buy100_medium_14'!H23</f>
        <v/>
      </c>
      <c r="P47" s="5">
        <f>SQRT(SUMPRODUCT('buy100_medium_14'!E7:E21,('buy100_medium_14'!D7:D21-O47)^2))</f>
        <v/>
      </c>
      <c r="Q47" s="5">
        <f>'buy100_medium_14'!B26</f>
        <v/>
      </c>
      <c r="R47" s="5">
        <f>'buy100_medium_14'!B27</f>
        <v/>
      </c>
      <c r="S47" s="5">
        <f>'buy100_medium_14'!B30</f>
        <v/>
      </c>
    </row>
    <row r="48">
      <c r="A48" s="5" t="inlineStr">
        <is>
          <t>buy100_medium_15</t>
        </is>
      </c>
      <c r="B48" s="5">
        <f>'buy100_medium_15'!$B$3</f>
        <v/>
      </c>
      <c r="C48" s="5" t="n">
        <v>15</v>
      </c>
      <c r="D48" s="5">
        <f>IF(C48="","",C48+1)</f>
        <v/>
      </c>
      <c r="E48" s="5">
        <f>'buy100_medium_15'!B29</f>
        <v/>
      </c>
      <c r="F48" s="5">
        <f>'buy100_medium_15'!B30</f>
        <v/>
      </c>
      <c r="G48" s="5">
        <f>IF(C48="","N/A",E48=D48)</f>
        <v/>
      </c>
      <c r="H48" s="5">
        <f>'buy100_medium_15'!$D$3</f>
        <v/>
      </c>
      <c r="I48" s="5">
        <f>'buy100_medium_15'!I24</f>
        <v/>
      </c>
      <c r="J48" s="5">
        <f>ABS(I48-H48)</f>
        <v/>
      </c>
      <c r="K48" s="7">
        <f>'buy100_medium_15'!J24</f>
        <v/>
      </c>
      <c r="L48" s="5">
        <f>SUMIFS('buy100_medium_15'!E7:E22,'buy100_medium_15'!D7:D22,"&gt;0")</f>
        <v/>
      </c>
      <c r="M48" s="5">
        <f>SUMIFS('buy100_medium_15'!E7:E22,'buy100_medium_15'!D7:D22,"=0")</f>
        <v/>
      </c>
      <c r="N48" s="5">
        <f>SUMIFS('buy100_medium_15'!E7:E22,'buy100_medium_15'!D7:D22,"&gt;"&amp;B48)</f>
        <v/>
      </c>
      <c r="O48" s="5">
        <f>'buy100_medium_15'!H24</f>
        <v/>
      </c>
      <c r="P48" s="5">
        <f>SQRT(SUMPRODUCT('buy100_medium_15'!E7:E22,('buy100_medium_15'!D7:D22-O48)^2))</f>
        <v/>
      </c>
      <c r="Q48" s="5">
        <f>'buy100_medium_15'!B27</f>
        <v/>
      </c>
      <c r="R48" s="5">
        <f>'buy100_medium_15'!B28</f>
        <v/>
      </c>
      <c r="S48" s="5">
        <f>'buy100_medium_15'!B31</f>
        <v/>
      </c>
    </row>
    <row r="49">
      <c r="A49" s="5" t="inlineStr">
        <is>
          <t>buy100_medium_16</t>
        </is>
      </c>
      <c r="B49" s="5">
        <f>'buy100_medium_16'!$B$3</f>
        <v/>
      </c>
      <c r="C49" s="5" t="n">
        <v>16</v>
      </c>
      <c r="D49" s="5">
        <f>IF(C49="","",C49+1)</f>
        <v/>
      </c>
      <c r="E49" s="5">
        <f>'buy100_medium_16'!B30</f>
        <v/>
      </c>
      <c r="F49" s="5">
        <f>'buy100_medium_16'!B31</f>
        <v/>
      </c>
      <c r="G49" s="5">
        <f>IF(C49="","N/A",E49=D49)</f>
        <v/>
      </c>
      <c r="H49" s="5">
        <f>'buy100_medium_16'!$D$3</f>
        <v/>
      </c>
      <c r="I49" s="5">
        <f>'buy100_medium_16'!I25</f>
        <v/>
      </c>
      <c r="J49" s="5">
        <f>ABS(I49-H49)</f>
        <v/>
      </c>
      <c r="K49" s="7">
        <f>'buy100_medium_16'!J25</f>
        <v/>
      </c>
      <c r="L49" s="5">
        <f>SUMIFS('buy100_medium_16'!E7:E23,'buy100_medium_16'!D7:D23,"&gt;0")</f>
        <v/>
      </c>
      <c r="M49" s="5">
        <f>SUMIFS('buy100_medium_16'!E7:E23,'buy100_medium_16'!D7:D23,"=0")</f>
        <v/>
      </c>
      <c r="N49" s="5">
        <f>SUMIFS('buy100_medium_16'!E7:E23,'buy100_medium_16'!D7:D23,"&gt;"&amp;B49)</f>
        <v/>
      </c>
      <c r="O49" s="5">
        <f>'buy100_medium_16'!H25</f>
        <v/>
      </c>
      <c r="P49" s="5">
        <f>SQRT(SUMPRODUCT('buy100_medium_16'!E7:E23,('buy100_medium_16'!D7:D23-O49)^2))</f>
        <v/>
      </c>
      <c r="Q49" s="5">
        <f>'buy100_medium_16'!B28</f>
        <v/>
      </c>
      <c r="R49" s="5">
        <f>'buy100_medium_16'!B29</f>
        <v/>
      </c>
      <c r="S49" s="5">
        <f>'buy100_medium_16'!B32</f>
        <v/>
      </c>
    </row>
    <row r="50">
      <c r="A50" s="5" t="inlineStr">
        <is>
          <t>buy100_medium_8</t>
        </is>
      </c>
      <c r="B50" s="5">
        <f>'buy100_medium_8'!$B$3</f>
        <v/>
      </c>
      <c r="C50" s="5" t="n">
        <v>8</v>
      </c>
      <c r="D50" s="5">
        <f>IF(C50="","",C50+1)</f>
        <v/>
      </c>
      <c r="E50" s="5">
        <f>'buy100_medium_8'!B22</f>
        <v/>
      </c>
      <c r="F50" s="5">
        <f>'buy100_medium_8'!B23</f>
        <v/>
      </c>
      <c r="G50" s="5">
        <f>IF(C50="","N/A",E50=D50)</f>
        <v/>
      </c>
      <c r="H50" s="5">
        <f>'buy100_medium_8'!$D$3</f>
        <v/>
      </c>
      <c r="I50" s="5">
        <f>'buy100_medium_8'!I17</f>
        <v/>
      </c>
      <c r="J50" s="5">
        <f>ABS(I50-H50)</f>
        <v/>
      </c>
      <c r="K50" s="7">
        <f>'buy100_medium_8'!J17</f>
        <v/>
      </c>
      <c r="L50" s="5">
        <f>SUMIFS('buy100_medium_8'!E7:E15,'buy100_medium_8'!D7:D15,"&gt;0")</f>
        <v/>
      </c>
      <c r="M50" s="5">
        <f>SUMIFS('buy100_medium_8'!E7:E15,'buy100_medium_8'!D7:D15,"=0")</f>
        <v/>
      </c>
      <c r="N50" s="5">
        <f>SUMIFS('buy100_medium_8'!E7:E15,'buy100_medium_8'!D7:D15,"&gt;"&amp;B50)</f>
        <v/>
      </c>
      <c r="O50" s="5">
        <f>'buy100_medium_8'!H17</f>
        <v/>
      </c>
      <c r="P50" s="5">
        <f>SQRT(SUMPRODUCT('buy100_medium_8'!E7:E15,('buy100_medium_8'!D7:D15-O50)^2))</f>
        <v/>
      </c>
      <c r="Q50" s="5">
        <f>'buy100_medium_8'!B20</f>
        <v/>
      </c>
      <c r="R50" s="5">
        <f>'buy100_medium_8'!B21</f>
        <v/>
      </c>
      <c r="S50" s="5">
        <f>'buy100_medium_8'!B24</f>
        <v/>
      </c>
    </row>
    <row r="51">
      <c r="A51" s="5" t="inlineStr">
        <is>
          <t>buy100_medium_9</t>
        </is>
      </c>
      <c r="B51" s="5">
        <f>'buy100_medium_9'!$B$3</f>
        <v/>
      </c>
      <c r="C51" s="5" t="n">
        <v>9</v>
      </c>
      <c r="D51" s="5">
        <f>IF(C51="","",C51+1)</f>
        <v/>
      </c>
      <c r="E51" s="5">
        <f>'buy100_medium_9'!B23</f>
        <v/>
      </c>
      <c r="F51" s="5">
        <f>'buy100_medium_9'!B24</f>
        <v/>
      </c>
      <c r="G51" s="5">
        <f>IF(C51="","N/A",E51=D51)</f>
        <v/>
      </c>
      <c r="H51" s="5">
        <f>'buy100_medium_9'!$D$3</f>
        <v/>
      </c>
      <c r="I51" s="5">
        <f>'buy100_medium_9'!I18</f>
        <v/>
      </c>
      <c r="J51" s="5">
        <f>ABS(I51-H51)</f>
        <v/>
      </c>
      <c r="K51" s="7">
        <f>'buy100_medium_9'!J18</f>
        <v/>
      </c>
      <c r="L51" s="5">
        <f>SUMIFS('buy100_medium_9'!E7:E16,'buy100_medium_9'!D7:D16,"&gt;0")</f>
        <v/>
      </c>
      <c r="M51" s="5">
        <f>SUMIFS('buy100_medium_9'!E7:E16,'buy100_medium_9'!D7:D16,"=0")</f>
        <v/>
      </c>
      <c r="N51" s="5">
        <f>SUMIFS('buy100_medium_9'!E7:E16,'buy100_medium_9'!D7:D16,"&gt;"&amp;B51)</f>
        <v/>
      </c>
      <c r="O51" s="5">
        <f>'buy100_medium_9'!H18</f>
        <v/>
      </c>
      <c r="P51" s="5">
        <f>SQRT(SUMPRODUCT('buy100_medium_9'!E7:E16,('buy100_medium_9'!D7:D16-O51)^2))</f>
        <v/>
      </c>
      <c r="Q51" s="5">
        <f>'buy100_medium_9'!B21</f>
        <v/>
      </c>
      <c r="R51" s="5">
        <f>'buy100_medium_9'!B22</f>
        <v/>
      </c>
      <c r="S51" s="5">
        <f>'buy100_medium_9'!B25</f>
        <v/>
      </c>
    </row>
    <row r="52">
      <c r="A52" s="5" t="inlineStr">
        <is>
          <t>normal_expert_10</t>
        </is>
      </c>
      <c r="B52" s="5">
        <f>'normal_expert_10'!$B$3</f>
        <v/>
      </c>
      <c r="C52" s="5" t="n">
        <v>10</v>
      </c>
      <c r="D52" s="5">
        <f>IF(C52="","",C52+1)</f>
        <v/>
      </c>
      <c r="E52" s="5">
        <f>'normal_expert_10'!B24</f>
        <v/>
      </c>
      <c r="F52" s="5">
        <f>'normal_expert_10'!B25</f>
        <v/>
      </c>
      <c r="G52" s="5">
        <f>IF(C52="","N/A",E52=D52)</f>
        <v/>
      </c>
      <c r="H52" s="5">
        <f>'normal_expert_10'!$D$3</f>
        <v/>
      </c>
      <c r="I52" s="5">
        <f>'normal_expert_10'!I19</f>
        <v/>
      </c>
      <c r="J52" s="5">
        <f>ABS(I52-H52)</f>
        <v/>
      </c>
      <c r="K52" s="7">
        <f>'normal_expert_10'!J19</f>
        <v/>
      </c>
      <c r="L52" s="5">
        <f>SUMIFS('normal_expert_10'!E7:E17,'normal_expert_10'!D7:D17,"&gt;0")</f>
        <v/>
      </c>
      <c r="M52" s="5">
        <f>SUMIFS('normal_expert_10'!E7:E17,'normal_expert_10'!D7:D17,"=0")</f>
        <v/>
      </c>
      <c r="N52" s="5">
        <f>SUMIFS('normal_expert_10'!E7:E17,'normal_expert_10'!D7:D17,"&gt;"&amp;B52)</f>
        <v/>
      </c>
      <c r="O52" s="5">
        <f>'normal_expert_10'!H19</f>
        <v/>
      </c>
      <c r="P52" s="5">
        <f>SQRT(SUMPRODUCT('normal_expert_10'!E7:E17,('normal_expert_10'!D7:D17-O52)^2))</f>
        <v/>
      </c>
      <c r="Q52" s="5">
        <f>'normal_expert_10'!B22</f>
        <v/>
      </c>
      <c r="R52" s="5">
        <f>'normal_expert_10'!B23</f>
        <v/>
      </c>
      <c r="S52" s="5">
        <f>'normal_expert_10'!B26</f>
        <v/>
      </c>
    </row>
    <row r="53">
      <c r="A53" s="5" t="inlineStr">
        <is>
          <t>normal_expert_11</t>
        </is>
      </c>
      <c r="B53" s="5">
        <f>'normal_expert_11'!$B$3</f>
        <v/>
      </c>
      <c r="C53" s="5" t="n">
        <v>11</v>
      </c>
      <c r="D53" s="5">
        <f>IF(C53="","",C53+1)</f>
        <v/>
      </c>
      <c r="E53" s="5">
        <f>'normal_expert_11'!B25</f>
        <v/>
      </c>
      <c r="F53" s="5">
        <f>'normal_expert_11'!B26</f>
        <v/>
      </c>
      <c r="G53" s="5">
        <f>IF(C53="","N/A",E53=D53)</f>
        <v/>
      </c>
      <c r="H53" s="5">
        <f>'normal_expert_11'!$D$3</f>
        <v/>
      </c>
      <c r="I53" s="5">
        <f>'normal_expert_11'!I20</f>
        <v/>
      </c>
      <c r="J53" s="5">
        <f>ABS(I53-H53)</f>
        <v/>
      </c>
      <c r="K53" s="7">
        <f>'normal_expert_11'!J20</f>
        <v/>
      </c>
      <c r="L53" s="5">
        <f>SUMIFS('normal_expert_11'!E7:E18,'normal_expert_11'!D7:D18,"&gt;0")</f>
        <v/>
      </c>
      <c r="M53" s="5">
        <f>SUMIFS('normal_expert_11'!E7:E18,'normal_expert_11'!D7:D18,"=0")</f>
        <v/>
      </c>
      <c r="N53" s="5">
        <f>SUMIFS('normal_expert_11'!E7:E18,'normal_expert_11'!D7:D18,"&gt;"&amp;B53)</f>
        <v/>
      </c>
      <c r="O53" s="5">
        <f>'normal_expert_11'!H20</f>
        <v/>
      </c>
      <c r="P53" s="5">
        <f>SQRT(SUMPRODUCT('normal_expert_11'!E7:E18,('normal_expert_11'!D7:D18-O53)^2))</f>
        <v/>
      </c>
      <c r="Q53" s="5">
        <f>'normal_expert_11'!B23</f>
        <v/>
      </c>
      <c r="R53" s="5">
        <f>'normal_expert_11'!B24</f>
        <v/>
      </c>
      <c r="S53" s="5">
        <f>'normal_expert_11'!B27</f>
        <v/>
      </c>
    </row>
    <row r="54">
      <c r="A54" s="5" t="inlineStr">
        <is>
          <t>normal_expert_12</t>
        </is>
      </c>
      <c r="B54" s="5">
        <f>'normal_expert_12'!$B$3</f>
        <v/>
      </c>
      <c r="C54" s="5" t="n">
        <v>12</v>
      </c>
      <c r="D54" s="5">
        <f>IF(C54="","",C54+1)</f>
        <v/>
      </c>
      <c r="E54" s="5">
        <f>'normal_expert_12'!B26</f>
        <v/>
      </c>
      <c r="F54" s="5">
        <f>'normal_expert_12'!B27</f>
        <v/>
      </c>
      <c r="G54" s="5">
        <f>IF(C54="","N/A",E54=D54)</f>
        <v/>
      </c>
      <c r="H54" s="5">
        <f>'normal_expert_12'!$D$3</f>
        <v/>
      </c>
      <c r="I54" s="5">
        <f>'normal_expert_12'!I21</f>
        <v/>
      </c>
      <c r="J54" s="5">
        <f>ABS(I54-H54)</f>
        <v/>
      </c>
      <c r="K54" s="7">
        <f>'normal_expert_12'!J21</f>
        <v/>
      </c>
      <c r="L54" s="5">
        <f>SUMIFS('normal_expert_12'!E7:E19,'normal_expert_12'!D7:D19,"&gt;0")</f>
        <v/>
      </c>
      <c r="M54" s="5">
        <f>SUMIFS('normal_expert_12'!E7:E19,'normal_expert_12'!D7:D19,"=0")</f>
        <v/>
      </c>
      <c r="N54" s="5">
        <f>SUMIFS('normal_expert_12'!E7:E19,'normal_expert_12'!D7:D19,"&gt;"&amp;B54)</f>
        <v/>
      </c>
      <c r="O54" s="5">
        <f>'normal_expert_12'!H21</f>
        <v/>
      </c>
      <c r="P54" s="5">
        <f>SQRT(SUMPRODUCT('normal_expert_12'!E7:E19,('normal_expert_12'!D7:D19-O54)^2))</f>
        <v/>
      </c>
      <c r="Q54" s="5">
        <f>'normal_expert_12'!B24</f>
        <v/>
      </c>
      <c r="R54" s="5">
        <f>'normal_expert_12'!B25</f>
        <v/>
      </c>
      <c r="S54" s="5">
        <f>'normal_expert_12'!B28</f>
        <v/>
      </c>
    </row>
    <row r="55">
      <c r="A55" s="5" t="inlineStr">
        <is>
          <t>normal_expert_13</t>
        </is>
      </c>
      <c r="B55" s="5">
        <f>'normal_expert_13'!$B$3</f>
        <v/>
      </c>
      <c r="C55" s="5" t="n">
        <v>13</v>
      </c>
      <c r="D55" s="5">
        <f>IF(C55="","",C55+1)</f>
        <v/>
      </c>
      <c r="E55" s="5">
        <f>'normal_expert_13'!B27</f>
        <v/>
      </c>
      <c r="F55" s="5">
        <f>'normal_expert_13'!B28</f>
        <v/>
      </c>
      <c r="G55" s="5">
        <f>IF(C55="","N/A",E55=D55)</f>
        <v/>
      </c>
      <c r="H55" s="5">
        <f>'normal_expert_13'!$D$3</f>
        <v/>
      </c>
      <c r="I55" s="5">
        <f>'normal_expert_13'!I22</f>
        <v/>
      </c>
      <c r="J55" s="5">
        <f>ABS(I55-H55)</f>
        <v/>
      </c>
      <c r="K55" s="7">
        <f>'normal_expert_13'!J22</f>
        <v/>
      </c>
      <c r="L55" s="5">
        <f>SUMIFS('normal_expert_13'!E7:E20,'normal_expert_13'!D7:D20,"&gt;0")</f>
        <v/>
      </c>
      <c r="M55" s="5">
        <f>SUMIFS('normal_expert_13'!E7:E20,'normal_expert_13'!D7:D20,"=0")</f>
        <v/>
      </c>
      <c r="N55" s="5">
        <f>SUMIFS('normal_expert_13'!E7:E20,'normal_expert_13'!D7:D20,"&gt;"&amp;B55)</f>
        <v/>
      </c>
      <c r="O55" s="5">
        <f>'normal_expert_13'!H22</f>
        <v/>
      </c>
      <c r="P55" s="5">
        <f>SQRT(SUMPRODUCT('normal_expert_13'!E7:E20,('normal_expert_13'!D7:D20-O55)^2))</f>
        <v/>
      </c>
      <c r="Q55" s="5">
        <f>'normal_expert_13'!B25</f>
        <v/>
      </c>
      <c r="R55" s="5">
        <f>'normal_expert_13'!B26</f>
        <v/>
      </c>
      <c r="S55" s="5">
        <f>'normal_expert_13'!B29</f>
        <v/>
      </c>
    </row>
    <row r="56">
      <c r="A56" s="5" t="inlineStr">
        <is>
          <t>normal_expert_14</t>
        </is>
      </c>
      <c r="B56" s="5">
        <f>'normal_expert_14'!$B$3</f>
        <v/>
      </c>
      <c r="C56" s="5" t="n">
        <v>14</v>
      </c>
      <c r="D56" s="5">
        <f>IF(C56="","",C56+1)</f>
        <v/>
      </c>
      <c r="E56" s="5">
        <f>'normal_expert_14'!B28</f>
        <v/>
      </c>
      <c r="F56" s="5">
        <f>'normal_expert_14'!B29</f>
        <v/>
      </c>
      <c r="G56" s="5">
        <f>IF(C56="","N/A",E56=D56)</f>
        <v/>
      </c>
      <c r="H56" s="5">
        <f>'normal_expert_14'!$D$3</f>
        <v/>
      </c>
      <c r="I56" s="5">
        <f>'normal_expert_14'!I23</f>
        <v/>
      </c>
      <c r="J56" s="5">
        <f>ABS(I56-H56)</f>
        <v/>
      </c>
      <c r="K56" s="7">
        <f>'normal_expert_14'!J23</f>
        <v/>
      </c>
      <c r="L56" s="5">
        <f>SUMIFS('normal_expert_14'!E7:E21,'normal_expert_14'!D7:D21,"&gt;0")</f>
        <v/>
      </c>
      <c r="M56" s="5">
        <f>SUMIFS('normal_expert_14'!E7:E21,'normal_expert_14'!D7:D21,"=0")</f>
        <v/>
      </c>
      <c r="N56" s="5">
        <f>SUMIFS('normal_expert_14'!E7:E21,'normal_expert_14'!D7:D21,"&gt;"&amp;B56)</f>
        <v/>
      </c>
      <c r="O56" s="5">
        <f>'normal_expert_14'!H23</f>
        <v/>
      </c>
      <c r="P56" s="5">
        <f>SQRT(SUMPRODUCT('normal_expert_14'!E7:E21,('normal_expert_14'!D7:D21-O56)^2))</f>
        <v/>
      </c>
      <c r="Q56" s="5">
        <f>'normal_expert_14'!B26</f>
        <v/>
      </c>
      <c r="R56" s="5">
        <f>'normal_expert_14'!B27</f>
        <v/>
      </c>
      <c r="S56" s="5">
        <f>'normal_expert_14'!B30</f>
        <v/>
      </c>
    </row>
    <row r="57">
      <c r="A57" s="5" t="inlineStr">
        <is>
          <t>normal_expert_15</t>
        </is>
      </c>
      <c r="B57" s="5">
        <f>'normal_expert_15'!$B$3</f>
        <v/>
      </c>
      <c r="C57" s="5" t="n">
        <v>15</v>
      </c>
      <c r="D57" s="5">
        <f>IF(C57="","",C57+1)</f>
        <v/>
      </c>
      <c r="E57" s="5">
        <f>'normal_expert_15'!B29</f>
        <v/>
      </c>
      <c r="F57" s="5">
        <f>'normal_expert_15'!B30</f>
        <v/>
      </c>
      <c r="G57" s="5">
        <f>IF(C57="","N/A",E57=D57)</f>
        <v/>
      </c>
      <c r="H57" s="5">
        <f>'normal_expert_15'!$D$3</f>
        <v/>
      </c>
      <c r="I57" s="5">
        <f>'normal_expert_15'!I24</f>
        <v/>
      </c>
      <c r="J57" s="5">
        <f>ABS(I57-H57)</f>
        <v/>
      </c>
      <c r="K57" s="7">
        <f>'normal_expert_15'!J24</f>
        <v/>
      </c>
      <c r="L57" s="5">
        <f>SUMIFS('normal_expert_15'!E7:E22,'normal_expert_15'!D7:D22,"&gt;0")</f>
        <v/>
      </c>
      <c r="M57" s="5">
        <f>SUMIFS('normal_expert_15'!E7:E22,'normal_expert_15'!D7:D22,"=0")</f>
        <v/>
      </c>
      <c r="N57" s="5">
        <f>SUMIFS('normal_expert_15'!E7:E22,'normal_expert_15'!D7:D22,"&gt;"&amp;B57)</f>
        <v/>
      </c>
      <c r="O57" s="5">
        <f>'normal_expert_15'!H24</f>
        <v/>
      </c>
      <c r="P57" s="5">
        <f>SQRT(SUMPRODUCT('normal_expert_15'!E7:E22,('normal_expert_15'!D7:D22-O57)^2))</f>
        <v/>
      </c>
      <c r="Q57" s="5">
        <f>'normal_expert_15'!B27</f>
        <v/>
      </c>
      <c r="R57" s="5">
        <f>'normal_expert_15'!B28</f>
        <v/>
      </c>
      <c r="S57" s="5">
        <f>'normal_expert_15'!B31</f>
        <v/>
      </c>
    </row>
    <row r="58">
      <c r="A58" s="5" t="inlineStr">
        <is>
          <t>normal_expert_16</t>
        </is>
      </c>
      <c r="B58" s="5">
        <f>'normal_expert_16'!$B$3</f>
        <v/>
      </c>
      <c r="C58" s="5" t="n">
        <v>16</v>
      </c>
      <c r="D58" s="5">
        <f>IF(C58="","",C58+1)</f>
        <v/>
      </c>
      <c r="E58" s="5">
        <f>'normal_expert_16'!B30</f>
        <v/>
      </c>
      <c r="F58" s="5">
        <f>'normal_expert_16'!B31</f>
        <v/>
      </c>
      <c r="G58" s="5">
        <f>IF(C58="","N/A",E58=D58)</f>
        <v/>
      </c>
      <c r="H58" s="5">
        <f>'normal_expert_16'!$D$3</f>
        <v/>
      </c>
      <c r="I58" s="5">
        <f>'normal_expert_16'!I25</f>
        <v/>
      </c>
      <c r="J58" s="5">
        <f>ABS(I58-H58)</f>
        <v/>
      </c>
      <c r="K58" s="7">
        <f>'normal_expert_16'!J25</f>
        <v/>
      </c>
      <c r="L58" s="5">
        <f>SUMIFS('normal_expert_16'!E7:E23,'normal_expert_16'!D7:D23,"&gt;0")</f>
        <v/>
      </c>
      <c r="M58" s="5">
        <f>SUMIFS('normal_expert_16'!E7:E23,'normal_expert_16'!D7:D23,"=0")</f>
        <v/>
      </c>
      <c r="N58" s="5">
        <f>SUMIFS('normal_expert_16'!E7:E23,'normal_expert_16'!D7:D23,"&gt;"&amp;B58)</f>
        <v/>
      </c>
      <c r="O58" s="5">
        <f>'normal_expert_16'!H25</f>
        <v/>
      </c>
      <c r="P58" s="5">
        <f>SQRT(SUMPRODUCT('normal_expert_16'!E7:E23,('normal_expert_16'!D7:D23-O58)^2))</f>
        <v/>
      </c>
      <c r="Q58" s="5">
        <f>'normal_expert_16'!B28</f>
        <v/>
      </c>
      <c r="R58" s="5">
        <f>'normal_expert_16'!B29</f>
        <v/>
      </c>
      <c r="S58" s="5">
        <f>'normal_expert_16'!B32</f>
        <v/>
      </c>
    </row>
    <row r="59">
      <c r="A59" s="5" t="inlineStr">
        <is>
          <t>normal_expert_8</t>
        </is>
      </c>
      <c r="B59" s="5">
        <f>'normal_expert_8'!$B$3</f>
        <v/>
      </c>
      <c r="C59" s="5" t="n">
        <v>8</v>
      </c>
      <c r="D59" s="5">
        <f>IF(C59="","",C59+1)</f>
        <v/>
      </c>
      <c r="E59" s="5">
        <f>'normal_expert_8'!B22</f>
        <v/>
      </c>
      <c r="F59" s="5">
        <f>'normal_expert_8'!B23</f>
        <v/>
      </c>
      <c r="G59" s="5">
        <f>IF(C59="","N/A",E59=D59)</f>
        <v/>
      </c>
      <c r="H59" s="5">
        <f>'normal_expert_8'!$D$3</f>
        <v/>
      </c>
      <c r="I59" s="5">
        <f>'normal_expert_8'!I17</f>
        <v/>
      </c>
      <c r="J59" s="5">
        <f>ABS(I59-H59)</f>
        <v/>
      </c>
      <c r="K59" s="7">
        <f>'normal_expert_8'!J17</f>
        <v/>
      </c>
      <c r="L59" s="5">
        <f>SUMIFS('normal_expert_8'!E7:E15,'normal_expert_8'!D7:D15,"&gt;0")</f>
        <v/>
      </c>
      <c r="M59" s="5">
        <f>SUMIFS('normal_expert_8'!E7:E15,'normal_expert_8'!D7:D15,"=0")</f>
        <v/>
      </c>
      <c r="N59" s="5">
        <f>SUMIFS('normal_expert_8'!E7:E15,'normal_expert_8'!D7:D15,"&gt;"&amp;B59)</f>
        <v/>
      </c>
      <c r="O59" s="5">
        <f>'normal_expert_8'!H17</f>
        <v/>
      </c>
      <c r="P59" s="5">
        <f>SQRT(SUMPRODUCT('normal_expert_8'!E7:E15,('normal_expert_8'!D7:D15-O59)^2))</f>
        <v/>
      </c>
      <c r="Q59" s="5">
        <f>'normal_expert_8'!B20</f>
        <v/>
      </c>
      <c r="R59" s="5">
        <f>'normal_expert_8'!B21</f>
        <v/>
      </c>
      <c r="S59" s="5">
        <f>'normal_expert_8'!B24</f>
        <v/>
      </c>
    </row>
    <row r="60">
      <c r="A60" s="5" t="inlineStr">
        <is>
          <t>normal_expert_9</t>
        </is>
      </c>
      <c r="B60" s="5">
        <f>'normal_expert_9'!$B$3</f>
        <v/>
      </c>
      <c r="C60" s="5" t="n">
        <v>9</v>
      </c>
      <c r="D60" s="5">
        <f>IF(C60="","",C60+1)</f>
        <v/>
      </c>
      <c r="E60" s="5">
        <f>'normal_expert_9'!B23</f>
        <v/>
      </c>
      <c r="F60" s="5">
        <f>'normal_expert_9'!B24</f>
        <v/>
      </c>
      <c r="G60" s="5">
        <f>IF(C60="","N/A",E60=D60)</f>
        <v/>
      </c>
      <c r="H60" s="5">
        <f>'normal_expert_9'!$D$3</f>
        <v/>
      </c>
      <c r="I60" s="5">
        <f>'normal_expert_9'!I18</f>
        <v/>
      </c>
      <c r="J60" s="5">
        <f>ABS(I60-H60)</f>
        <v/>
      </c>
      <c r="K60" s="7">
        <f>'normal_expert_9'!J18</f>
        <v/>
      </c>
      <c r="L60" s="5">
        <f>SUMIFS('normal_expert_9'!E7:E16,'normal_expert_9'!D7:D16,"&gt;0")</f>
        <v/>
      </c>
      <c r="M60" s="5">
        <f>SUMIFS('normal_expert_9'!E7:E16,'normal_expert_9'!D7:D16,"=0")</f>
        <v/>
      </c>
      <c r="N60" s="5">
        <f>SUMIFS('normal_expert_9'!E7:E16,'normal_expert_9'!D7:D16,"&gt;"&amp;B60)</f>
        <v/>
      </c>
      <c r="O60" s="5">
        <f>'normal_expert_9'!H18</f>
        <v/>
      </c>
      <c r="P60" s="5">
        <f>SQRT(SUMPRODUCT('normal_expert_9'!E7:E16,('normal_expert_9'!D7:D16-O60)^2))</f>
        <v/>
      </c>
      <c r="Q60" s="5">
        <f>'normal_expert_9'!B21</f>
        <v/>
      </c>
      <c r="R60" s="5">
        <f>'normal_expert_9'!B22</f>
        <v/>
      </c>
      <c r="S60" s="5">
        <f>'normal_expert_9'!B25</f>
        <v/>
      </c>
    </row>
    <row r="61">
      <c r="A61" s="5" t="inlineStr">
        <is>
          <t>normal_high_10</t>
        </is>
      </c>
      <c r="B61" s="5">
        <f>'normal_high_10'!$B$3</f>
        <v/>
      </c>
      <c r="C61" s="5" t="n">
        <v>10</v>
      </c>
      <c r="D61" s="5">
        <f>IF(C61="","",C61+1)</f>
        <v/>
      </c>
      <c r="E61" s="5">
        <f>'normal_high_10'!B24</f>
        <v/>
      </c>
      <c r="F61" s="5">
        <f>'normal_high_10'!B25</f>
        <v/>
      </c>
      <c r="G61" s="5">
        <f>IF(C61="","N/A",E61=D61)</f>
        <v/>
      </c>
      <c r="H61" s="5">
        <f>'normal_high_10'!$D$3</f>
        <v/>
      </c>
      <c r="I61" s="5">
        <f>'normal_high_10'!I19</f>
        <v/>
      </c>
      <c r="J61" s="5">
        <f>ABS(I61-H61)</f>
        <v/>
      </c>
      <c r="K61" s="7">
        <f>'normal_high_10'!J19</f>
        <v/>
      </c>
      <c r="L61" s="5">
        <f>SUMIFS('normal_high_10'!E7:E17,'normal_high_10'!D7:D17,"&gt;0")</f>
        <v/>
      </c>
      <c r="M61" s="5">
        <f>SUMIFS('normal_high_10'!E7:E17,'normal_high_10'!D7:D17,"=0")</f>
        <v/>
      </c>
      <c r="N61" s="5">
        <f>SUMIFS('normal_high_10'!E7:E17,'normal_high_10'!D7:D17,"&gt;"&amp;B61)</f>
        <v/>
      </c>
      <c r="O61" s="5">
        <f>'normal_high_10'!H19</f>
        <v/>
      </c>
      <c r="P61" s="5">
        <f>SQRT(SUMPRODUCT('normal_high_10'!E7:E17,('normal_high_10'!D7:D17-O61)^2))</f>
        <v/>
      </c>
      <c r="Q61" s="5">
        <f>'normal_high_10'!B22</f>
        <v/>
      </c>
      <c r="R61" s="5">
        <f>'normal_high_10'!B23</f>
        <v/>
      </c>
      <c r="S61" s="5">
        <f>'normal_high_10'!B26</f>
        <v/>
      </c>
    </row>
    <row r="62">
      <c r="A62" s="5" t="inlineStr">
        <is>
          <t>normal_high_11</t>
        </is>
      </c>
      <c r="B62" s="5">
        <f>'normal_high_11'!$B$3</f>
        <v/>
      </c>
      <c r="C62" s="5" t="n">
        <v>11</v>
      </c>
      <c r="D62" s="5">
        <f>IF(C62="","",C62+1)</f>
        <v/>
      </c>
      <c r="E62" s="5">
        <f>'normal_high_11'!B25</f>
        <v/>
      </c>
      <c r="F62" s="5">
        <f>'normal_high_11'!B26</f>
        <v/>
      </c>
      <c r="G62" s="5">
        <f>IF(C62="","N/A",E62=D62)</f>
        <v/>
      </c>
      <c r="H62" s="5">
        <f>'normal_high_11'!$D$3</f>
        <v/>
      </c>
      <c r="I62" s="5">
        <f>'normal_high_11'!I20</f>
        <v/>
      </c>
      <c r="J62" s="5">
        <f>ABS(I62-H62)</f>
        <v/>
      </c>
      <c r="K62" s="7">
        <f>'normal_high_11'!J20</f>
        <v/>
      </c>
      <c r="L62" s="5">
        <f>SUMIFS('normal_high_11'!E7:E18,'normal_high_11'!D7:D18,"&gt;0")</f>
        <v/>
      </c>
      <c r="M62" s="5">
        <f>SUMIFS('normal_high_11'!E7:E18,'normal_high_11'!D7:D18,"=0")</f>
        <v/>
      </c>
      <c r="N62" s="5">
        <f>SUMIFS('normal_high_11'!E7:E18,'normal_high_11'!D7:D18,"&gt;"&amp;B62)</f>
        <v/>
      </c>
      <c r="O62" s="5">
        <f>'normal_high_11'!H20</f>
        <v/>
      </c>
      <c r="P62" s="5">
        <f>SQRT(SUMPRODUCT('normal_high_11'!E7:E18,('normal_high_11'!D7:D18-O62)^2))</f>
        <v/>
      </c>
      <c r="Q62" s="5">
        <f>'normal_high_11'!B23</f>
        <v/>
      </c>
      <c r="R62" s="5">
        <f>'normal_high_11'!B24</f>
        <v/>
      </c>
      <c r="S62" s="5">
        <f>'normal_high_11'!B27</f>
        <v/>
      </c>
    </row>
    <row r="63">
      <c r="A63" s="5" t="inlineStr">
        <is>
          <t>normal_high_12</t>
        </is>
      </c>
      <c r="B63" s="5">
        <f>'normal_high_12'!$B$3</f>
        <v/>
      </c>
      <c r="C63" s="5" t="n">
        <v>12</v>
      </c>
      <c r="D63" s="5">
        <f>IF(C63="","",C63+1)</f>
        <v/>
      </c>
      <c r="E63" s="5">
        <f>'normal_high_12'!B26</f>
        <v/>
      </c>
      <c r="F63" s="5">
        <f>'normal_high_12'!B27</f>
        <v/>
      </c>
      <c r="G63" s="5">
        <f>IF(C63="","N/A",E63=D63)</f>
        <v/>
      </c>
      <c r="H63" s="5">
        <f>'normal_high_12'!$D$3</f>
        <v/>
      </c>
      <c r="I63" s="5">
        <f>'normal_high_12'!I21</f>
        <v/>
      </c>
      <c r="J63" s="5">
        <f>ABS(I63-H63)</f>
        <v/>
      </c>
      <c r="K63" s="7">
        <f>'normal_high_12'!J21</f>
        <v/>
      </c>
      <c r="L63" s="5">
        <f>SUMIFS('normal_high_12'!E7:E19,'normal_high_12'!D7:D19,"&gt;0")</f>
        <v/>
      </c>
      <c r="M63" s="5">
        <f>SUMIFS('normal_high_12'!E7:E19,'normal_high_12'!D7:D19,"=0")</f>
        <v/>
      </c>
      <c r="N63" s="5">
        <f>SUMIFS('normal_high_12'!E7:E19,'normal_high_12'!D7:D19,"&gt;"&amp;B63)</f>
        <v/>
      </c>
      <c r="O63" s="5">
        <f>'normal_high_12'!H21</f>
        <v/>
      </c>
      <c r="P63" s="5">
        <f>SQRT(SUMPRODUCT('normal_high_12'!E7:E19,('normal_high_12'!D7:D19-O63)^2))</f>
        <v/>
      </c>
      <c r="Q63" s="5">
        <f>'normal_high_12'!B24</f>
        <v/>
      </c>
      <c r="R63" s="5">
        <f>'normal_high_12'!B25</f>
        <v/>
      </c>
      <c r="S63" s="5">
        <f>'normal_high_12'!B28</f>
        <v/>
      </c>
    </row>
    <row r="64">
      <c r="A64" s="5" t="inlineStr">
        <is>
          <t>normal_high_13</t>
        </is>
      </c>
      <c r="B64" s="5">
        <f>'normal_high_13'!$B$3</f>
        <v/>
      </c>
      <c r="C64" s="5" t="n">
        <v>13</v>
      </c>
      <c r="D64" s="5">
        <f>IF(C64="","",C64+1)</f>
        <v/>
      </c>
      <c r="E64" s="5">
        <f>'normal_high_13'!B27</f>
        <v/>
      </c>
      <c r="F64" s="5">
        <f>'normal_high_13'!B28</f>
        <v/>
      </c>
      <c r="G64" s="5">
        <f>IF(C64="","N/A",E64=D64)</f>
        <v/>
      </c>
      <c r="H64" s="5">
        <f>'normal_high_13'!$D$3</f>
        <v/>
      </c>
      <c r="I64" s="5">
        <f>'normal_high_13'!I22</f>
        <v/>
      </c>
      <c r="J64" s="5">
        <f>ABS(I64-H64)</f>
        <v/>
      </c>
      <c r="K64" s="7">
        <f>'normal_high_13'!J22</f>
        <v/>
      </c>
      <c r="L64" s="5">
        <f>SUMIFS('normal_high_13'!E7:E20,'normal_high_13'!D7:D20,"&gt;0")</f>
        <v/>
      </c>
      <c r="M64" s="5">
        <f>SUMIFS('normal_high_13'!E7:E20,'normal_high_13'!D7:D20,"=0")</f>
        <v/>
      </c>
      <c r="N64" s="5">
        <f>SUMIFS('normal_high_13'!E7:E20,'normal_high_13'!D7:D20,"&gt;"&amp;B64)</f>
        <v/>
      </c>
      <c r="O64" s="5">
        <f>'normal_high_13'!H22</f>
        <v/>
      </c>
      <c r="P64" s="5">
        <f>SQRT(SUMPRODUCT('normal_high_13'!E7:E20,('normal_high_13'!D7:D20-O64)^2))</f>
        <v/>
      </c>
      <c r="Q64" s="5">
        <f>'normal_high_13'!B25</f>
        <v/>
      </c>
      <c r="R64" s="5">
        <f>'normal_high_13'!B26</f>
        <v/>
      </c>
      <c r="S64" s="5">
        <f>'normal_high_13'!B29</f>
        <v/>
      </c>
    </row>
    <row r="65">
      <c r="A65" s="5" t="inlineStr">
        <is>
          <t>normal_high_14</t>
        </is>
      </c>
      <c r="B65" s="5">
        <f>'normal_high_14'!$B$3</f>
        <v/>
      </c>
      <c r="C65" s="5" t="n">
        <v>14</v>
      </c>
      <c r="D65" s="5">
        <f>IF(C65="","",C65+1)</f>
        <v/>
      </c>
      <c r="E65" s="5">
        <f>'normal_high_14'!B28</f>
        <v/>
      </c>
      <c r="F65" s="5">
        <f>'normal_high_14'!B29</f>
        <v/>
      </c>
      <c r="G65" s="5">
        <f>IF(C65="","N/A",E65=D65)</f>
        <v/>
      </c>
      <c r="H65" s="5">
        <f>'normal_high_14'!$D$3</f>
        <v/>
      </c>
      <c r="I65" s="5">
        <f>'normal_high_14'!I23</f>
        <v/>
      </c>
      <c r="J65" s="5">
        <f>ABS(I65-H65)</f>
        <v/>
      </c>
      <c r="K65" s="7">
        <f>'normal_high_14'!J23</f>
        <v/>
      </c>
      <c r="L65" s="5">
        <f>SUMIFS('normal_high_14'!E7:E21,'normal_high_14'!D7:D21,"&gt;0")</f>
        <v/>
      </c>
      <c r="M65" s="5">
        <f>SUMIFS('normal_high_14'!E7:E21,'normal_high_14'!D7:D21,"=0")</f>
        <v/>
      </c>
      <c r="N65" s="5">
        <f>SUMIFS('normal_high_14'!E7:E21,'normal_high_14'!D7:D21,"&gt;"&amp;B65)</f>
        <v/>
      </c>
      <c r="O65" s="5">
        <f>'normal_high_14'!H23</f>
        <v/>
      </c>
      <c r="P65" s="5">
        <f>SQRT(SUMPRODUCT('normal_high_14'!E7:E21,('normal_high_14'!D7:D21-O65)^2))</f>
        <v/>
      </c>
      <c r="Q65" s="5">
        <f>'normal_high_14'!B26</f>
        <v/>
      </c>
      <c r="R65" s="5">
        <f>'normal_high_14'!B27</f>
        <v/>
      </c>
      <c r="S65" s="5">
        <f>'normal_high_14'!B30</f>
        <v/>
      </c>
    </row>
    <row r="66">
      <c r="A66" s="5" t="inlineStr">
        <is>
          <t>normal_high_15</t>
        </is>
      </c>
      <c r="B66" s="5">
        <f>'normal_high_15'!$B$3</f>
        <v/>
      </c>
      <c r="C66" s="5" t="n">
        <v>15</v>
      </c>
      <c r="D66" s="5">
        <f>IF(C66="","",C66+1)</f>
        <v/>
      </c>
      <c r="E66" s="5">
        <f>'normal_high_15'!B29</f>
        <v/>
      </c>
      <c r="F66" s="5">
        <f>'normal_high_15'!B30</f>
        <v/>
      </c>
      <c r="G66" s="5">
        <f>IF(C66="","N/A",E66=D66)</f>
        <v/>
      </c>
      <c r="H66" s="5">
        <f>'normal_high_15'!$D$3</f>
        <v/>
      </c>
      <c r="I66" s="5">
        <f>'normal_high_15'!I24</f>
        <v/>
      </c>
      <c r="J66" s="5">
        <f>ABS(I66-H66)</f>
        <v/>
      </c>
      <c r="K66" s="7">
        <f>'normal_high_15'!J24</f>
        <v/>
      </c>
      <c r="L66" s="5">
        <f>SUMIFS('normal_high_15'!E7:E22,'normal_high_15'!D7:D22,"&gt;0")</f>
        <v/>
      </c>
      <c r="M66" s="5">
        <f>SUMIFS('normal_high_15'!E7:E22,'normal_high_15'!D7:D22,"=0")</f>
        <v/>
      </c>
      <c r="N66" s="5">
        <f>SUMIFS('normal_high_15'!E7:E22,'normal_high_15'!D7:D22,"&gt;"&amp;B66)</f>
        <v/>
      </c>
      <c r="O66" s="5">
        <f>'normal_high_15'!H24</f>
        <v/>
      </c>
      <c r="P66" s="5">
        <f>SQRT(SUMPRODUCT('normal_high_15'!E7:E22,('normal_high_15'!D7:D22-O66)^2))</f>
        <v/>
      </c>
      <c r="Q66" s="5">
        <f>'normal_high_15'!B27</f>
        <v/>
      </c>
      <c r="R66" s="5">
        <f>'normal_high_15'!B28</f>
        <v/>
      </c>
      <c r="S66" s="5">
        <f>'normal_high_15'!B31</f>
        <v/>
      </c>
    </row>
    <row r="67">
      <c r="A67" s="5" t="inlineStr">
        <is>
          <t>normal_high_16</t>
        </is>
      </c>
      <c r="B67" s="5">
        <f>'normal_high_16'!$B$3</f>
        <v/>
      </c>
      <c r="C67" s="5" t="n">
        <v>16</v>
      </c>
      <c r="D67" s="5">
        <f>IF(C67="","",C67+1)</f>
        <v/>
      </c>
      <c r="E67" s="5">
        <f>'normal_high_16'!B30</f>
        <v/>
      </c>
      <c r="F67" s="5">
        <f>'normal_high_16'!B31</f>
        <v/>
      </c>
      <c r="G67" s="5">
        <f>IF(C67="","N/A",E67=D67)</f>
        <v/>
      </c>
      <c r="H67" s="5">
        <f>'normal_high_16'!$D$3</f>
        <v/>
      </c>
      <c r="I67" s="5">
        <f>'normal_high_16'!I25</f>
        <v/>
      </c>
      <c r="J67" s="5">
        <f>ABS(I67-H67)</f>
        <v/>
      </c>
      <c r="K67" s="7">
        <f>'normal_high_16'!J25</f>
        <v/>
      </c>
      <c r="L67" s="5">
        <f>SUMIFS('normal_high_16'!E7:E23,'normal_high_16'!D7:D23,"&gt;0")</f>
        <v/>
      </c>
      <c r="M67" s="5">
        <f>SUMIFS('normal_high_16'!E7:E23,'normal_high_16'!D7:D23,"=0")</f>
        <v/>
      </c>
      <c r="N67" s="5">
        <f>SUMIFS('normal_high_16'!E7:E23,'normal_high_16'!D7:D23,"&gt;"&amp;B67)</f>
        <v/>
      </c>
      <c r="O67" s="5">
        <f>'normal_high_16'!H25</f>
        <v/>
      </c>
      <c r="P67" s="5">
        <f>SQRT(SUMPRODUCT('normal_high_16'!E7:E23,('normal_high_16'!D7:D23-O67)^2))</f>
        <v/>
      </c>
      <c r="Q67" s="5">
        <f>'normal_high_16'!B28</f>
        <v/>
      </c>
      <c r="R67" s="5">
        <f>'normal_high_16'!B29</f>
        <v/>
      </c>
      <c r="S67" s="5">
        <f>'normal_high_16'!B32</f>
        <v/>
      </c>
    </row>
    <row r="68">
      <c r="A68" s="5" t="inlineStr">
        <is>
          <t>normal_high_8</t>
        </is>
      </c>
      <c r="B68" s="5">
        <f>'normal_high_8'!$B$3</f>
        <v/>
      </c>
      <c r="C68" s="5" t="n">
        <v>8</v>
      </c>
      <c r="D68" s="5">
        <f>IF(C68="","",C68+1)</f>
        <v/>
      </c>
      <c r="E68" s="5">
        <f>'normal_high_8'!B22</f>
        <v/>
      </c>
      <c r="F68" s="5">
        <f>'normal_high_8'!B23</f>
        <v/>
      </c>
      <c r="G68" s="5">
        <f>IF(C68="","N/A",E68=D68)</f>
        <v/>
      </c>
      <c r="H68" s="5">
        <f>'normal_high_8'!$D$3</f>
        <v/>
      </c>
      <c r="I68" s="5">
        <f>'normal_high_8'!I17</f>
        <v/>
      </c>
      <c r="J68" s="5">
        <f>ABS(I68-H68)</f>
        <v/>
      </c>
      <c r="K68" s="7">
        <f>'normal_high_8'!J17</f>
        <v/>
      </c>
      <c r="L68" s="5">
        <f>SUMIFS('normal_high_8'!E7:E15,'normal_high_8'!D7:D15,"&gt;0")</f>
        <v/>
      </c>
      <c r="M68" s="5">
        <f>SUMIFS('normal_high_8'!E7:E15,'normal_high_8'!D7:D15,"=0")</f>
        <v/>
      </c>
      <c r="N68" s="5">
        <f>SUMIFS('normal_high_8'!E7:E15,'normal_high_8'!D7:D15,"&gt;"&amp;B68)</f>
        <v/>
      </c>
      <c r="O68" s="5">
        <f>'normal_high_8'!H17</f>
        <v/>
      </c>
      <c r="P68" s="5">
        <f>SQRT(SUMPRODUCT('normal_high_8'!E7:E15,('normal_high_8'!D7:D15-O68)^2))</f>
        <v/>
      </c>
      <c r="Q68" s="5">
        <f>'normal_high_8'!B20</f>
        <v/>
      </c>
      <c r="R68" s="5">
        <f>'normal_high_8'!B21</f>
        <v/>
      </c>
      <c r="S68" s="5">
        <f>'normal_high_8'!B24</f>
        <v/>
      </c>
    </row>
    <row r="69">
      <c r="A69" s="5" t="inlineStr">
        <is>
          <t>normal_high_9</t>
        </is>
      </c>
      <c r="B69" s="5">
        <f>'normal_high_9'!$B$3</f>
        <v/>
      </c>
      <c r="C69" s="5" t="n">
        <v>9</v>
      </c>
      <c r="D69" s="5">
        <f>IF(C69="","",C69+1)</f>
        <v/>
      </c>
      <c r="E69" s="5">
        <f>'normal_high_9'!B23</f>
        <v/>
      </c>
      <c r="F69" s="5">
        <f>'normal_high_9'!B24</f>
        <v/>
      </c>
      <c r="G69" s="5">
        <f>IF(C69="","N/A",E69=D69)</f>
        <v/>
      </c>
      <c r="H69" s="5">
        <f>'normal_high_9'!$D$3</f>
        <v/>
      </c>
      <c r="I69" s="5">
        <f>'normal_high_9'!I18</f>
        <v/>
      </c>
      <c r="J69" s="5">
        <f>ABS(I69-H69)</f>
        <v/>
      </c>
      <c r="K69" s="7">
        <f>'normal_high_9'!J18</f>
        <v/>
      </c>
      <c r="L69" s="5">
        <f>SUMIFS('normal_high_9'!E7:E16,'normal_high_9'!D7:D16,"&gt;0")</f>
        <v/>
      </c>
      <c r="M69" s="5">
        <f>SUMIFS('normal_high_9'!E7:E16,'normal_high_9'!D7:D16,"=0")</f>
        <v/>
      </c>
      <c r="N69" s="5">
        <f>SUMIFS('normal_high_9'!E7:E16,'normal_high_9'!D7:D16,"&gt;"&amp;B69)</f>
        <v/>
      </c>
      <c r="O69" s="5">
        <f>'normal_high_9'!H18</f>
        <v/>
      </c>
      <c r="P69" s="5">
        <f>SQRT(SUMPRODUCT('normal_high_9'!E7:E16,('normal_high_9'!D7:D16-O69)^2))</f>
        <v/>
      </c>
      <c r="Q69" s="5">
        <f>'normal_high_9'!B21</f>
        <v/>
      </c>
      <c r="R69" s="5">
        <f>'normal_high_9'!B22</f>
        <v/>
      </c>
      <c r="S69" s="5">
        <f>'normal_high_9'!B25</f>
        <v/>
      </c>
    </row>
    <row r="70">
      <c r="A70" s="5" t="inlineStr">
        <is>
          <t>normal_low_10</t>
        </is>
      </c>
      <c r="B70" s="5">
        <f>'normal_low_10'!$B$3</f>
        <v/>
      </c>
      <c r="C70" s="5" t="n">
        <v>10</v>
      </c>
      <c r="D70" s="5">
        <f>IF(C70="","",C70+1)</f>
        <v/>
      </c>
      <c r="E70" s="5">
        <f>'normal_low_10'!B24</f>
        <v/>
      </c>
      <c r="F70" s="5">
        <f>'normal_low_10'!B25</f>
        <v/>
      </c>
      <c r="G70" s="5">
        <f>IF(C70="","N/A",E70=D70)</f>
        <v/>
      </c>
      <c r="H70" s="5">
        <f>'normal_low_10'!$D$3</f>
        <v/>
      </c>
      <c r="I70" s="5">
        <f>'normal_low_10'!I19</f>
        <v/>
      </c>
      <c r="J70" s="5">
        <f>ABS(I70-H70)</f>
        <v/>
      </c>
      <c r="K70" s="7">
        <f>'normal_low_10'!J19</f>
        <v/>
      </c>
      <c r="L70" s="5">
        <f>SUMIFS('normal_low_10'!E7:E17,'normal_low_10'!D7:D17,"&gt;0")</f>
        <v/>
      </c>
      <c r="M70" s="5">
        <f>SUMIFS('normal_low_10'!E7:E17,'normal_low_10'!D7:D17,"=0")</f>
        <v/>
      </c>
      <c r="N70" s="5">
        <f>SUMIFS('normal_low_10'!E7:E17,'normal_low_10'!D7:D17,"&gt;"&amp;B70)</f>
        <v/>
      </c>
      <c r="O70" s="5">
        <f>'normal_low_10'!H19</f>
        <v/>
      </c>
      <c r="P70" s="5">
        <f>SQRT(SUMPRODUCT('normal_low_10'!E7:E17,('normal_low_10'!D7:D17-O70)^2))</f>
        <v/>
      </c>
      <c r="Q70" s="5">
        <f>'normal_low_10'!B22</f>
        <v/>
      </c>
      <c r="R70" s="5">
        <f>'normal_low_10'!B23</f>
        <v/>
      </c>
      <c r="S70" s="5">
        <f>'normal_low_10'!B26</f>
        <v/>
      </c>
    </row>
    <row r="71">
      <c r="A71" s="5" t="inlineStr">
        <is>
          <t>normal_low_11</t>
        </is>
      </c>
      <c r="B71" s="5">
        <f>'normal_low_11'!$B$3</f>
        <v/>
      </c>
      <c r="C71" s="5" t="n">
        <v>11</v>
      </c>
      <c r="D71" s="5">
        <f>IF(C71="","",C71+1)</f>
        <v/>
      </c>
      <c r="E71" s="5">
        <f>'normal_low_11'!B25</f>
        <v/>
      </c>
      <c r="F71" s="5">
        <f>'normal_low_11'!B26</f>
        <v/>
      </c>
      <c r="G71" s="5">
        <f>IF(C71="","N/A",E71=D71)</f>
        <v/>
      </c>
      <c r="H71" s="5">
        <f>'normal_low_11'!$D$3</f>
        <v/>
      </c>
      <c r="I71" s="5">
        <f>'normal_low_11'!I20</f>
        <v/>
      </c>
      <c r="J71" s="5">
        <f>ABS(I71-H71)</f>
        <v/>
      </c>
      <c r="K71" s="7">
        <f>'normal_low_11'!J20</f>
        <v/>
      </c>
      <c r="L71" s="5">
        <f>SUMIFS('normal_low_11'!E7:E18,'normal_low_11'!D7:D18,"&gt;0")</f>
        <v/>
      </c>
      <c r="M71" s="5">
        <f>SUMIFS('normal_low_11'!E7:E18,'normal_low_11'!D7:D18,"=0")</f>
        <v/>
      </c>
      <c r="N71" s="5">
        <f>SUMIFS('normal_low_11'!E7:E18,'normal_low_11'!D7:D18,"&gt;"&amp;B71)</f>
        <v/>
      </c>
      <c r="O71" s="5">
        <f>'normal_low_11'!H20</f>
        <v/>
      </c>
      <c r="P71" s="5">
        <f>SQRT(SUMPRODUCT('normal_low_11'!E7:E18,('normal_low_11'!D7:D18-O71)^2))</f>
        <v/>
      </c>
      <c r="Q71" s="5">
        <f>'normal_low_11'!B23</f>
        <v/>
      </c>
      <c r="R71" s="5">
        <f>'normal_low_11'!B24</f>
        <v/>
      </c>
      <c r="S71" s="5">
        <f>'normal_low_11'!B27</f>
        <v/>
      </c>
    </row>
    <row r="72">
      <c r="A72" s="5" t="inlineStr">
        <is>
          <t>normal_low_12</t>
        </is>
      </c>
      <c r="B72" s="5">
        <f>'normal_low_12'!$B$3</f>
        <v/>
      </c>
      <c r="C72" s="5" t="n">
        <v>12</v>
      </c>
      <c r="D72" s="5">
        <f>IF(C72="","",C72+1)</f>
        <v/>
      </c>
      <c r="E72" s="5">
        <f>'normal_low_12'!B26</f>
        <v/>
      </c>
      <c r="F72" s="5">
        <f>'normal_low_12'!B27</f>
        <v/>
      </c>
      <c r="G72" s="5">
        <f>IF(C72="","N/A",E72=D72)</f>
        <v/>
      </c>
      <c r="H72" s="5">
        <f>'normal_low_12'!$D$3</f>
        <v/>
      </c>
      <c r="I72" s="5">
        <f>'normal_low_12'!I21</f>
        <v/>
      </c>
      <c r="J72" s="5">
        <f>ABS(I72-H72)</f>
        <v/>
      </c>
      <c r="K72" s="7">
        <f>'normal_low_12'!J21</f>
        <v/>
      </c>
      <c r="L72" s="5">
        <f>SUMIFS('normal_low_12'!E7:E19,'normal_low_12'!D7:D19,"&gt;0")</f>
        <v/>
      </c>
      <c r="M72" s="5">
        <f>SUMIFS('normal_low_12'!E7:E19,'normal_low_12'!D7:D19,"=0")</f>
        <v/>
      </c>
      <c r="N72" s="5">
        <f>SUMIFS('normal_low_12'!E7:E19,'normal_low_12'!D7:D19,"&gt;"&amp;B72)</f>
        <v/>
      </c>
      <c r="O72" s="5">
        <f>'normal_low_12'!H21</f>
        <v/>
      </c>
      <c r="P72" s="5">
        <f>SQRT(SUMPRODUCT('normal_low_12'!E7:E19,('normal_low_12'!D7:D19-O72)^2))</f>
        <v/>
      </c>
      <c r="Q72" s="5">
        <f>'normal_low_12'!B24</f>
        <v/>
      </c>
      <c r="R72" s="5">
        <f>'normal_low_12'!B25</f>
        <v/>
      </c>
      <c r="S72" s="5">
        <f>'normal_low_12'!B28</f>
        <v/>
      </c>
    </row>
    <row r="73">
      <c r="A73" s="5" t="inlineStr">
        <is>
          <t>normal_low_13</t>
        </is>
      </c>
      <c r="B73" s="5">
        <f>'normal_low_13'!$B$3</f>
        <v/>
      </c>
      <c r="C73" s="5" t="n">
        <v>13</v>
      </c>
      <c r="D73" s="5">
        <f>IF(C73="","",C73+1)</f>
        <v/>
      </c>
      <c r="E73" s="5">
        <f>'normal_low_13'!B27</f>
        <v/>
      </c>
      <c r="F73" s="5">
        <f>'normal_low_13'!B28</f>
        <v/>
      </c>
      <c r="G73" s="5">
        <f>IF(C73="","N/A",E73=D73)</f>
        <v/>
      </c>
      <c r="H73" s="5">
        <f>'normal_low_13'!$D$3</f>
        <v/>
      </c>
      <c r="I73" s="5">
        <f>'normal_low_13'!I22</f>
        <v/>
      </c>
      <c r="J73" s="5">
        <f>ABS(I73-H73)</f>
        <v/>
      </c>
      <c r="K73" s="7">
        <f>'normal_low_13'!J22</f>
        <v/>
      </c>
      <c r="L73" s="5">
        <f>SUMIFS('normal_low_13'!E7:E20,'normal_low_13'!D7:D20,"&gt;0")</f>
        <v/>
      </c>
      <c r="M73" s="5">
        <f>SUMIFS('normal_low_13'!E7:E20,'normal_low_13'!D7:D20,"=0")</f>
        <v/>
      </c>
      <c r="N73" s="5">
        <f>SUMIFS('normal_low_13'!E7:E20,'normal_low_13'!D7:D20,"&gt;"&amp;B73)</f>
        <v/>
      </c>
      <c r="O73" s="5">
        <f>'normal_low_13'!H22</f>
        <v/>
      </c>
      <c r="P73" s="5">
        <f>SQRT(SUMPRODUCT('normal_low_13'!E7:E20,('normal_low_13'!D7:D20-O73)^2))</f>
        <v/>
      </c>
      <c r="Q73" s="5">
        <f>'normal_low_13'!B25</f>
        <v/>
      </c>
      <c r="R73" s="5">
        <f>'normal_low_13'!B26</f>
        <v/>
      </c>
      <c r="S73" s="5">
        <f>'normal_low_13'!B29</f>
        <v/>
      </c>
    </row>
    <row r="74">
      <c r="A74" s="5" t="inlineStr">
        <is>
          <t>normal_low_14</t>
        </is>
      </c>
      <c r="B74" s="5">
        <f>'normal_low_14'!$B$3</f>
        <v/>
      </c>
      <c r="C74" s="5" t="n">
        <v>14</v>
      </c>
      <c r="D74" s="5">
        <f>IF(C74="","",C74+1)</f>
        <v/>
      </c>
      <c r="E74" s="5">
        <f>'normal_low_14'!B28</f>
        <v/>
      </c>
      <c r="F74" s="5">
        <f>'normal_low_14'!B29</f>
        <v/>
      </c>
      <c r="G74" s="5">
        <f>IF(C74="","N/A",E74=D74)</f>
        <v/>
      </c>
      <c r="H74" s="5">
        <f>'normal_low_14'!$D$3</f>
        <v/>
      </c>
      <c r="I74" s="5">
        <f>'normal_low_14'!I23</f>
        <v/>
      </c>
      <c r="J74" s="5">
        <f>ABS(I74-H74)</f>
        <v/>
      </c>
      <c r="K74" s="7">
        <f>'normal_low_14'!J23</f>
        <v/>
      </c>
      <c r="L74" s="5">
        <f>SUMIFS('normal_low_14'!E7:E21,'normal_low_14'!D7:D21,"&gt;0")</f>
        <v/>
      </c>
      <c r="M74" s="5">
        <f>SUMIFS('normal_low_14'!E7:E21,'normal_low_14'!D7:D21,"=0")</f>
        <v/>
      </c>
      <c r="N74" s="5">
        <f>SUMIFS('normal_low_14'!E7:E21,'normal_low_14'!D7:D21,"&gt;"&amp;B74)</f>
        <v/>
      </c>
      <c r="O74" s="5">
        <f>'normal_low_14'!H23</f>
        <v/>
      </c>
      <c r="P74" s="5">
        <f>SQRT(SUMPRODUCT('normal_low_14'!E7:E21,('normal_low_14'!D7:D21-O74)^2))</f>
        <v/>
      </c>
      <c r="Q74" s="5">
        <f>'normal_low_14'!B26</f>
        <v/>
      </c>
      <c r="R74" s="5">
        <f>'normal_low_14'!B27</f>
        <v/>
      </c>
      <c r="S74" s="5">
        <f>'normal_low_14'!B30</f>
        <v/>
      </c>
    </row>
    <row r="75">
      <c r="A75" s="5" t="inlineStr">
        <is>
          <t>normal_low_15</t>
        </is>
      </c>
      <c r="B75" s="5">
        <f>'normal_low_15'!$B$3</f>
        <v/>
      </c>
      <c r="C75" s="5" t="n">
        <v>15</v>
      </c>
      <c r="D75" s="5">
        <f>IF(C75="","",C75+1)</f>
        <v/>
      </c>
      <c r="E75" s="5">
        <f>'normal_low_15'!B29</f>
        <v/>
      </c>
      <c r="F75" s="5">
        <f>'normal_low_15'!B30</f>
        <v/>
      </c>
      <c r="G75" s="5">
        <f>IF(C75="","N/A",E75=D75)</f>
        <v/>
      </c>
      <c r="H75" s="5">
        <f>'normal_low_15'!$D$3</f>
        <v/>
      </c>
      <c r="I75" s="5">
        <f>'normal_low_15'!I24</f>
        <v/>
      </c>
      <c r="J75" s="5">
        <f>ABS(I75-H75)</f>
        <v/>
      </c>
      <c r="K75" s="7">
        <f>'normal_low_15'!J24</f>
        <v/>
      </c>
      <c r="L75" s="5">
        <f>SUMIFS('normal_low_15'!E7:E22,'normal_low_15'!D7:D22,"&gt;0")</f>
        <v/>
      </c>
      <c r="M75" s="5">
        <f>SUMIFS('normal_low_15'!E7:E22,'normal_low_15'!D7:D22,"=0")</f>
        <v/>
      </c>
      <c r="N75" s="5">
        <f>SUMIFS('normal_low_15'!E7:E22,'normal_low_15'!D7:D22,"&gt;"&amp;B75)</f>
        <v/>
      </c>
      <c r="O75" s="5">
        <f>'normal_low_15'!H24</f>
        <v/>
      </c>
      <c r="P75" s="5">
        <f>SQRT(SUMPRODUCT('normal_low_15'!E7:E22,('normal_low_15'!D7:D22-O75)^2))</f>
        <v/>
      </c>
      <c r="Q75" s="5">
        <f>'normal_low_15'!B27</f>
        <v/>
      </c>
      <c r="R75" s="5">
        <f>'normal_low_15'!B28</f>
        <v/>
      </c>
      <c r="S75" s="5">
        <f>'normal_low_15'!B31</f>
        <v/>
      </c>
    </row>
    <row r="76">
      <c r="A76" s="5" t="inlineStr">
        <is>
          <t>normal_low_16</t>
        </is>
      </c>
      <c r="B76" s="5">
        <f>'normal_low_16'!$B$3</f>
        <v/>
      </c>
      <c r="C76" s="5" t="n">
        <v>16</v>
      </c>
      <c r="D76" s="5">
        <f>IF(C76="","",C76+1)</f>
        <v/>
      </c>
      <c r="E76" s="5">
        <f>'normal_low_16'!B30</f>
        <v/>
      </c>
      <c r="F76" s="5">
        <f>'normal_low_16'!B31</f>
        <v/>
      </c>
      <c r="G76" s="5">
        <f>IF(C76="","N/A",E76=D76)</f>
        <v/>
      </c>
      <c r="H76" s="5">
        <f>'normal_low_16'!$D$3</f>
        <v/>
      </c>
      <c r="I76" s="5">
        <f>'normal_low_16'!I25</f>
        <v/>
      </c>
      <c r="J76" s="5">
        <f>ABS(I76-H76)</f>
        <v/>
      </c>
      <c r="K76" s="7">
        <f>'normal_low_16'!J25</f>
        <v/>
      </c>
      <c r="L76" s="5">
        <f>SUMIFS('normal_low_16'!E7:E23,'normal_low_16'!D7:D23,"&gt;0")</f>
        <v/>
      </c>
      <c r="M76" s="5">
        <f>SUMIFS('normal_low_16'!E7:E23,'normal_low_16'!D7:D23,"=0")</f>
        <v/>
      </c>
      <c r="N76" s="5">
        <f>SUMIFS('normal_low_16'!E7:E23,'normal_low_16'!D7:D23,"&gt;"&amp;B76)</f>
        <v/>
      </c>
      <c r="O76" s="5">
        <f>'normal_low_16'!H25</f>
        <v/>
      </c>
      <c r="P76" s="5">
        <f>SQRT(SUMPRODUCT('normal_low_16'!E7:E23,('normal_low_16'!D7:D23-O76)^2))</f>
        <v/>
      </c>
      <c r="Q76" s="5">
        <f>'normal_low_16'!B28</f>
        <v/>
      </c>
      <c r="R76" s="5">
        <f>'normal_low_16'!B29</f>
        <v/>
      </c>
      <c r="S76" s="5">
        <f>'normal_low_16'!B32</f>
        <v/>
      </c>
    </row>
    <row r="77">
      <c r="A77" s="5" t="inlineStr">
        <is>
          <t>normal_low_8</t>
        </is>
      </c>
      <c r="B77" s="5">
        <f>'normal_low_8'!$B$3</f>
        <v/>
      </c>
      <c r="C77" s="5" t="n">
        <v>8</v>
      </c>
      <c r="D77" s="5">
        <f>IF(C77="","",C77+1)</f>
        <v/>
      </c>
      <c r="E77" s="5">
        <f>'normal_low_8'!B22</f>
        <v/>
      </c>
      <c r="F77" s="5">
        <f>'normal_low_8'!B23</f>
        <v/>
      </c>
      <c r="G77" s="5">
        <f>IF(C77="","N/A",E77=D77)</f>
        <v/>
      </c>
      <c r="H77" s="5">
        <f>'normal_low_8'!$D$3</f>
        <v/>
      </c>
      <c r="I77" s="5">
        <f>'normal_low_8'!I17</f>
        <v/>
      </c>
      <c r="J77" s="5">
        <f>ABS(I77-H77)</f>
        <v/>
      </c>
      <c r="K77" s="7">
        <f>'normal_low_8'!J17</f>
        <v/>
      </c>
      <c r="L77" s="5">
        <f>SUMIFS('normal_low_8'!E7:E15,'normal_low_8'!D7:D15,"&gt;0")</f>
        <v/>
      </c>
      <c r="M77" s="5">
        <f>SUMIFS('normal_low_8'!E7:E15,'normal_low_8'!D7:D15,"=0")</f>
        <v/>
      </c>
      <c r="N77" s="5">
        <f>SUMIFS('normal_low_8'!E7:E15,'normal_low_8'!D7:D15,"&gt;"&amp;B77)</f>
        <v/>
      </c>
      <c r="O77" s="5">
        <f>'normal_low_8'!H17</f>
        <v/>
      </c>
      <c r="P77" s="5">
        <f>SQRT(SUMPRODUCT('normal_low_8'!E7:E15,('normal_low_8'!D7:D15-O77)^2))</f>
        <v/>
      </c>
      <c r="Q77" s="5">
        <f>'normal_low_8'!B20</f>
        <v/>
      </c>
      <c r="R77" s="5">
        <f>'normal_low_8'!B21</f>
        <v/>
      </c>
      <c r="S77" s="5">
        <f>'normal_low_8'!B24</f>
        <v/>
      </c>
    </row>
    <row r="78">
      <c r="A78" s="5" t="inlineStr">
        <is>
          <t>normal_low_9</t>
        </is>
      </c>
      <c r="B78" s="5">
        <f>'normal_low_9'!$B$3</f>
        <v/>
      </c>
      <c r="C78" s="5" t="n">
        <v>9</v>
      </c>
      <c r="D78" s="5">
        <f>IF(C78="","",C78+1)</f>
        <v/>
      </c>
      <c r="E78" s="5">
        <f>'normal_low_9'!B23</f>
        <v/>
      </c>
      <c r="F78" s="5">
        <f>'normal_low_9'!B24</f>
        <v/>
      </c>
      <c r="G78" s="5">
        <f>IF(C78="","N/A",E78=D78)</f>
        <v/>
      </c>
      <c r="H78" s="5">
        <f>'normal_low_9'!$D$3</f>
        <v/>
      </c>
      <c r="I78" s="5">
        <f>'normal_low_9'!I18</f>
        <v/>
      </c>
      <c r="J78" s="5">
        <f>ABS(I78-H78)</f>
        <v/>
      </c>
      <c r="K78" s="7">
        <f>'normal_low_9'!J18</f>
        <v/>
      </c>
      <c r="L78" s="5">
        <f>SUMIFS('normal_low_9'!E7:E16,'normal_low_9'!D7:D16,"&gt;0")</f>
        <v/>
      </c>
      <c r="M78" s="5">
        <f>SUMIFS('normal_low_9'!E7:E16,'normal_low_9'!D7:D16,"=0")</f>
        <v/>
      </c>
      <c r="N78" s="5">
        <f>SUMIFS('normal_low_9'!E7:E16,'normal_low_9'!D7:D16,"&gt;"&amp;B78)</f>
        <v/>
      </c>
      <c r="O78" s="5">
        <f>'normal_low_9'!H18</f>
        <v/>
      </c>
      <c r="P78" s="5">
        <f>SQRT(SUMPRODUCT('normal_low_9'!E7:E16,('normal_low_9'!D7:D16-O78)^2))</f>
        <v/>
      </c>
      <c r="Q78" s="5">
        <f>'normal_low_9'!B21</f>
        <v/>
      </c>
      <c r="R78" s="5">
        <f>'normal_low_9'!B22</f>
        <v/>
      </c>
      <c r="S78" s="5">
        <f>'normal_low_9'!B25</f>
        <v/>
      </c>
    </row>
    <row r="79">
      <c r="A79" s="5" t="inlineStr">
        <is>
          <t>normal_medium_10</t>
        </is>
      </c>
      <c r="B79" s="5">
        <f>'normal_medium_10'!$B$3</f>
        <v/>
      </c>
      <c r="C79" s="5" t="n">
        <v>10</v>
      </c>
      <c r="D79" s="5">
        <f>IF(C79="","",C79+1)</f>
        <v/>
      </c>
      <c r="E79" s="5">
        <f>'normal_medium_10'!B24</f>
        <v/>
      </c>
      <c r="F79" s="5">
        <f>'normal_medium_10'!B25</f>
        <v/>
      </c>
      <c r="G79" s="5">
        <f>IF(C79="","N/A",E79=D79)</f>
        <v/>
      </c>
      <c r="H79" s="5">
        <f>'normal_medium_10'!$D$3</f>
        <v/>
      </c>
      <c r="I79" s="5">
        <f>'normal_medium_10'!I19</f>
        <v/>
      </c>
      <c r="J79" s="5">
        <f>ABS(I79-H79)</f>
        <v/>
      </c>
      <c r="K79" s="7">
        <f>'normal_medium_10'!J19</f>
        <v/>
      </c>
      <c r="L79" s="5">
        <f>SUMIFS('normal_medium_10'!E7:E17,'normal_medium_10'!D7:D17,"&gt;0")</f>
        <v/>
      </c>
      <c r="M79" s="5">
        <f>SUMIFS('normal_medium_10'!E7:E17,'normal_medium_10'!D7:D17,"=0")</f>
        <v/>
      </c>
      <c r="N79" s="5">
        <f>SUMIFS('normal_medium_10'!E7:E17,'normal_medium_10'!D7:D17,"&gt;"&amp;B79)</f>
        <v/>
      </c>
      <c r="O79" s="5">
        <f>'normal_medium_10'!H19</f>
        <v/>
      </c>
      <c r="P79" s="5">
        <f>SQRT(SUMPRODUCT('normal_medium_10'!E7:E17,('normal_medium_10'!D7:D17-O79)^2))</f>
        <v/>
      </c>
      <c r="Q79" s="5">
        <f>'normal_medium_10'!B22</f>
        <v/>
      </c>
      <c r="R79" s="5">
        <f>'normal_medium_10'!B23</f>
        <v/>
      </c>
      <c r="S79" s="5">
        <f>'normal_medium_10'!B26</f>
        <v/>
      </c>
    </row>
    <row r="80">
      <c r="A80" s="5" t="inlineStr">
        <is>
          <t>normal_medium_11</t>
        </is>
      </c>
      <c r="B80" s="5">
        <f>'normal_medium_11'!$B$3</f>
        <v/>
      </c>
      <c r="C80" s="5" t="n">
        <v>11</v>
      </c>
      <c r="D80" s="5">
        <f>IF(C80="","",C80+1)</f>
        <v/>
      </c>
      <c r="E80" s="5">
        <f>'normal_medium_11'!B25</f>
        <v/>
      </c>
      <c r="F80" s="5">
        <f>'normal_medium_11'!B26</f>
        <v/>
      </c>
      <c r="G80" s="5">
        <f>IF(C80="","N/A",E80=D80)</f>
        <v/>
      </c>
      <c r="H80" s="5">
        <f>'normal_medium_11'!$D$3</f>
        <v/>
      </c>
      <c r="I80" s="5">
        <f>'normal_medium_11'!I20</f>
        <v/>
      </c>
      <c r="J80" s="5">
        <f>ABS(I80-H80)</f>
        <v/>
      </c>
      <c r="K80" s="7">
        <f>'normal_medium_11'!J20</f>
        <v/>
      </c>
      <c r="L80" s="5">
        <f>SUMIFS('normal_medium_11'!E7:E18,'normal_medium_11'!D7:D18,"&gt;0")</f>
        <v/>
      </c>
      <c r="M80" s="5">
        <f>SUMIFS('normal_medium_11'!E7:E18,'normal_medium_11'!D7:D18,"=0")</f>
        <v/>
      </c>
      <c r="N80" s="5">
        <f>SUMIFS('normal_medium_11'!E7:E18,'normal_medium_11'!D7:D18,"&gt;"&amp;B80)</f>
        <v/>
      </c>
      <c r="O80" s="5">
        <f>'normal_medium_11'!H20</f>
        <v/>
      </c>
      <c r="P80" s="5">
        <f>SQRT(SUMPRODUCT('normal_medium_11'!E7:E18,('normal_medium_11'!D7:D18-O80)^2))</f>
        <v/>
      </c>
      <c r="Q80" s="5">
        <f>'normal_medium_11'!B23</f>
        <v/>
      </c>
      <c r="R80" s="5">
        <f>'normal_medium_11'!B24</f>
        <v/>
      </c>
      <c r="S80" s="5">
        <f>'normal_medium_11'!B27</f>
        <v/>
      </c>
    </row>
    <row r="81">
      <c r="A81" s="5" t="inlineStr">
        <is>
          <t>normal_medium_12</t>
        </is>
      </c>
      <c r="B81" s="5">
        <f>'normal_medium_12'!$B$3</f>
        <v/>
      </c>
      <c r="C81" s="5" t="n">
        <v>12</v>
      </c>
      <c r="D81" s="5">
        <f>IF(C81="","",C81+1)</f>
        <v/>
      </c>
      <c r="E81" s="5">
        <f>'normal_medium_12'!B26</f>
        <v/>
      </c>
      <c r="F81" s="5">
        <f>'normal_medium_12'!B27</f>
        <v/>
      </c>
      <c r="G81" s="5">
        <f>IF(C81="","N/A",E81=D81)</f>
        <v/>
      </c>
      <c r="H81" s="5">
        <f>'normal_medium_12'!$D$3</f>
        <v/>
      </c>
      <c r="I81" s="5">
        <f>'normal_medium_12'!I21</f>
        <v/>
      </c>
      <c r="J81" s="5">
        <f>ABS(I81-H81)</f>
        <v/>
      </c>
      <c r="K81" s="7">
        <f>'normal_medium_12'!J21</f>
        <v/>
      </c>
      <c r="L81" s="5">
        <f>SUMIFS('normal_medium_12'!E7:E19,'normal_medium_12'!D7:D19,"&gt;0")</f>
        <v/>
      </c>
      <c r="M81" s="5">
        <f>SUMIFS('normal_medium_12'!E7:E19,'normal_medium_12'!D7:D19,"=0")</f>
        <v/>
      </c>
      <c r="N81" s="5">
        <f>SUMIFS('normal_medium_12'!E7:E19,'normal_medium_12'!D7:D19,"&gt;"&amp;B81)</f>
        <v/>
      </c>
      <c r="O81" s="5">
        <f>'normal_medium_12'!H21</f>
        <v/>
      </c>
      <c r="P81" s="5">
        <f>SQRT(SUMPRODUCT('normal_medium_12'!E7:E19,('normal_medium_12'!D7:D19-O81)^2))</f>
        <v/>
      </c>
      <c r="Q81" s="5">
        <f>'normal_medium_12'!B24</f>
        <v/>
      </c>
      <c r="R81" s="5">
        <f>'normal_medium_12'!B25</f>
        <v/>
      </c>
      <c r="S81" s="5">
        <f>'normal_medium_12'!B28</f>
        <v/>
      </c>
    </row>
    <row r="82">
      <c r="A82" s="5" t="inlineStr">
        <is>
          <t>normal_medium_13</t>
        </is>
      </c>
      <c r="B82" s="5">
        <f>'normal_medium_13'!$B$3</f>
        <v/>
      </c>
      <c r="C82" s="5" t="n">
        <v>13</v>
      </c>
      <c r="D82" s="5">
        <f>IF(C82="","",C82+1)</f>
        <v/>
      </c>
      <c r="E82" s="5">
        <f>'normal_medium_13'!B27</f>
        <v/>
      </c>
      <c r="F82" s="5">
        <f>'normal_medium_13'!B28</f>
        <v/>
      </c>
      <c r="G82" s="5">
        <f>IF(C82="","N/A",E82=D82)</f>
        <v/>
      </c>
      <c r="H82" s="5">
        <f>'normal_medium_13'!$D$3</f>
        <v/>
      </c>
      <c r="I82" s="5">
        <f>'normal_medium_13'!I22</f>
        <v/>
      </c>
      <c r="J82" s="5">
        <f>ABS(I82-H82)</f>
        <v/>
      </c>
      <c r="K82" s="7">
        <f>'normal_medium_13'!J22</f>
        <v/>
      </c>
      <c r="L82" s="5">
        <f>SUMIFS('normal_medium_13'!E7:E20,'normal_medium_13'!D7:D20,"&gt;0")</f>
        <v/>
      </c>
      <c r="M82" s="5">
        <f>SUMIFS('normal_medium_13'!E7:E20,'normal_medium_13'!D7:D20,"=0")</f>
        <v/>
      </c>
      <c r="N82" s="5">
        <f>SUMIFS('normal_medium_13'!E7:E20,'normal_medium_13'!D7:D20,"&gt;"&amp;B82)</f>
        <v/>
      </c>
      <c r="O82" s="5">
        <f>'normal_medium_13'!H22</f>
        <v/>
      </c>
      <c r="P82" s="5">
        <f>SQRT(SUMPRODUCT('normal_medium_13'!E7:E20,('normal_medium_13'!D7:D20-O82)^2))</f>
        <v/>
      </c>
      <c r="Q82" s="5">
        <f>'normal_medium_13'!B25</f>
        <v/>
      </c>
      <c r="R82" s="5">
        <f>'normal_medium_13'!B26</f>
        <v/>
      </c>
      <c r="S82" s="5">
        <f>'normal_medium_13'!B29</f>
        <v/>
      </c>
    </row>
    <row r="83">
      <c r="A83" s="5" t="inlineStr">
        <is>
          <t>normal_medium_14</t>
        </is>
      </c>
      <c r="B83" s="5">
        <f>'normal_medium_14'!$B$3</f>
        <v/>
      </c>
      <c r="C83" s="5" t="n">
        <v>14</v>
      </c>
      <c r="D83" s="5">
        <f>IF(C83="","",C83+1)</f>
        <v/>
      </c>
      <c r="E83" s="5">
        <f>'normal_medium_14'!B28</f>
        <v/>
      </c>
      <c r="F83" s="5">
        <f>'normal_medium_14'!B29</f>
        <v/>
      </c>
      <c r="G83" s="5">
        <f>IF(C83="","N/A",E83=D83)</f>
        <v/>
      </c>
      <c r="H83" s="5">
        <f>'normal_medium_14'!$D$3</f>
        <v/>
      </c>
      <c r="I83" s="5">
        <f>'normal_medium_14'!I23</f>
        <v/>
      </c>
      <c r="J83" s="5">
        <f>ABS(I83-H83)</f>
        <v/>
      </c>
      <c r="K83" s="7">
        <f>'normal_medium_14'!J23</f>
        <v/>
      </c>
      <c r="L83" s="5">
        <f>SUMIFS('normal_medium_14'!E7:E21,'normal_medium_14'!D7:D21,"&gt;0")</f>
        <v/>
      </c>
      <c r="M83" s="5">
        <f>SUMIFS('normal_medium_14'!E7:E21,'normal_medium_14'!D7:D21,"=0")</f>
        <v/>
      </c>
      <c r="N83" s="5">
        <f>SUMIFS('normal_medium_14'!E7:E21,'normal_medium_14'!D7:D21,"&gt;"&amp;B83)</f>
        <v/>
      </c>
      <c r="O83" s="5">
        <f>'normal_medium_14'!H23</f>
        <v/>
      </c>
      <c r="P83" s="5">
        <f>SQRT(SUMPRODUCT('normal_medium_14'!E7:E21,('normal_medium_14'!D7:D21-O83)^2))</f>
        <v/>
      </c>
      <c r="Q83" s="5">
        <f>'normal_medium_14'!B26</f>
        <v/>
      </c>
      <c r="R83" s="5">
        <f>'normal_medium_14'!B27</f>
        <v/>
      </c>
      <c r="S83" s="5">
        <f>'normal_medium_14'!B30</f>
        <v/>
      </c>
    </row>
    <row r="84">
      <c r="A84" s="5" t="inlineStr">
        <is>
          <t>normal_medium_15</t>
        </is>
      </c>
      <c r="B84" s="5">
        <f>'normal_medium_15'!$B$3</f>
        <v/>
      </c>
      <c r="C84" s="5" t="n">
        <v>15</v>
      </c>
      <c r="D84" s="5">
        <f>IF(C84="","",C84+1)</f>
        <v/>
      </c>
      <c r="E84" s="5">
        <f>'normal_medium_15'!B29</f>
        <v/>
      </c>
      <c r="F84" s="5">
        <f>'normal_medium_15'!B30</f>
        <v/>
      </c>
      <c r="G84" s="5">
        <f>IF(C84="","N/A",E84=D84)</f>
        <v/>
      </c>
      <c r="H84" s="5">
        <f>'normal_medium_15'!$D$3</f>
        <v/>
      </c>
      <c r="I84" s="5">
        <f>'normal_medium_15'!I24</f>
        <v/>
      </c>
      <c r="J84" s="5">
        <f>ABS(I84-H84)</f>
        <v/>
      </c>
      <c r="K84" s="7">
        <f>'normal_medium_15'!J24</f>
        <v/>
      </c>
      <c r="L84" s="5">
        <f>SUMIFS('normal_medium_15'!E7:E22,'normal_medium_15'!D7:D22,"&gt;0")</f>
        <v/>
      </c>
      <c r="M84" s="5">
        <f>SUMIFS('normal_medium_15'!E7:E22,'normal_medium_15'!D7:D22,"=0")</f>
        <v/>
      </c>
      <c r="N84" s="5">
        <f>SUMIFS('normal_medium_15'!E7:E22,'normal_medium_15'!D7:D22,"&gt;"&amp;B84)</f>
        <v/>
      </c>
      <c r="O84" s="5">
        <f>'normal_medium_15'!H24</f>
        <v/>
      </c>
      <c r="P84" s="5">
        <f>SQRT(SUMPRODUCT('normal_medium_15'!E7:E22,('normal_medium_15'!D7:D22-O84)^2))</f>
        <v/>
      </c>
      <c r="Q84" s="5">
        <f>'normal_medium_15'!B27</f>
        <v/>
      </c>
      <c r="R84" s="5">
        <f>'normal_medium_15'!B28</f>
        <v/>
      </c>
      <c r="S84" s="5">
        <f>'normal_medium_15'!B31</f>
        <v/>
      </c>
    </row>
    <row r="85">
      <c r="A85" s="5" t="inlineStr">
        <is>
          <t>normal_medium_16</t>
        </is>
      </c>
      <c r="B85" s="5">
        <f>'normal_medium_16'!$B$3</f>
        <v/>
      </c>
      <c r="C85" s="5" t="n">
        <v>16</v>
      </c>
      <c r="D85" s="5">
        <f>IF(C85="","",C85+1)</f>
        <v/>
      </c>
      <c r="E85" s="5">
        <f>'normal_medium_16'!B30</f>
        <v/>
      </c>
      <c r="F85" s="5">
        <f>'normal_medium_16'!B31</f>
        <v/>
      </c>
      <c r="G85" s="5">
        <f>IF(C85="","N/A",E85=D85)</f>
        <v/>
      </c>
      <c r="H85" s="5">
        <f>'normal_medium_16'!$D$3</f>
        <v/>
      </c>
      <c r="I85" s="5">
        <f>'normal_medium_16'!I25</f>
        <v/>
      </c>
      <c r="J85" s="5">
        <f>ABS(I85-H85)</f>
        <v/>
      </c>
      <c r="K85" s="7">
        <f>'normal_medium_16'!J25</f>
        <v/>
      </c>
      <c r="L85" s="5">
        <f>SUMIFS('normal_medium_16'!E7:E23,'normal_medium_16'!D7:D23,"&gt;0")</f>
        <v/>
      </c>
      <c r="M85" s="5">
        <f>SUMIFS('normal_medium_16'!E7:E23,'normal_medium_16'!D7:D23,"=0")</f>
        <v/>
      </c>
      <c r="N85" s="5">
        <f>SUMIFS('normal_medium_16'!E7:E23,'normal_medium_16'!D7:D23,"&gt;"&amp;B85)</f>
        <v/>
      </c>
      <c r="O85" s="5">
        <f>'normal_medium_16'!H25</f>
        <v/>
      </c>
      <c r="P85" s="5">
        <f>SQRT(SUMPRODUCT('normal_medium_16'!E7:E23,('normal_medium_16'!D7:D23-O85)^2))</f>
        <v/>
      </c>
      <c r="Q85" s="5">
        <f>'normal_medium_16'!B28</f>
        <v/>
      </c>
      <c r="R85" s="5">
        <f>'normal_medium_16'!B29</f>
        <v/>
      </c>
      <c r="S85" s="5">
        <f>'normal_medium_16'!B32</f>
        <v/>
      </c>
    </row>
    <row r="86">
      <c r="A86" s="5" t="inlineStr">
        <is>
          <t>normal_medium_8</t>
        </is>
      </c>
      <c r="B86" s="5">
        <f>'normal_medium_8'!$B$3</f>
        <v/>
      </c>
      <c r="C86" s="5" t="n">
        <v>8</v>
      </c>
      <c r="D86" s="5">
        <f>IF(C86="","",C86+1)</f>
        <v/>
      </c>
      <c r="E86" s="5">
        <f>'normal_medium_8'!B22</f>
        <v/>
      </c>
      <c r="F86" s="5">
        <f>'normal_medium_8'!B23</f>
        <v/>
      </c>
      <c r="G86" s="5">
        <f>IF(C86="","N/A",E86=D86)</f>
        <v/>
      </c>
      <c r="H86" s="5">
        <f>'normal_medium_8'!$D$3</f>
        <v/>
      </c>
      <c r="I86" s="5">
        <f>'normal_medium_8'!I17</f>
        <v/>
      </c>
      <c r="J86" s="5">
        <f>ABS(I86-H86)</f>
        <v/>
      </c>
      <c r="K86" s="7">
        <f>'normal_medium_8'!J17</f>
        <v/>
      </c>
      <c r="L86" s="5">
        <f>SUMIFS('normal_medium_8'!E7:E15,'normal_medium_8'!D7:D15,"&gt;0")</f>
        <v/>
      </c>
      <c r="M86" s="5">
        <f>SUMIFS('normal_medium_8'!E7:E15,'normal_medium_8'!D7:D15,"=0")</f>
        <v/>
      </c>
      <c r="N86" s="5">
        <f>SUMIFS('normal_medium_8'!E7:E15,'normal_medium_8'!D7:D15,"&gt;"&amp;B86)</f>
        <v/>
      </c>
      <c r="O86" s="5">
        <f>'normal_medium_8'!H17</f>
        <v/>
      </c>
      <c r="P86" s="5">
        <f>SQRT(SUMPRODUCT('normal_medium_8'!E7:E15,('normal_medium_8'!D7:D15-O86)^2))</f>
        <v/>
      </c>
      <c r="Q86" s="5">
        <f>'normal_medium_8'!B20</f>
        <v/>
      </c>
      <c r="R86" s="5">
        <f>'normal_medium_8'!B21</f>
        <v/>
      </c>
      <c r="S86" s="5">
        <f>'normal_medium_8'!B24</f>
        <v/>
      </c>
    </row>
    <row r="87">
      <c r="A87" s="5" t="inlineStr">
        <is>
          <t>normal_medium_9</t>
        </is>
      </c>
      <c r="B87" s="5">
        <f>'normal_medium_9'!$B$3</f>
        <v/>
      </c>
      <c r="C87" s="5" t="n">
        <v>9</v>
      </c>
      <c r="D87" s="5">
        <f>IF(C87="","",C87+1)</f>
        <v/>
      </c>
      <c r="E87" s="5">
        <f>'normal_medium_9'!B23</f>
        <v/>
      </c>
      <c r="F87" s="5">
        <f>'normal_medium_9'!B24</f>
        <v/>
      </c>
      <c r="G87" s="5">
        <f>IF(C87="","N/A",E87=D87)</f>
        <v/>
      </c>
      <c r="H87" s="5">
        <f>'normal_medium_9'!$D$3</f>
        <v/>
      </c>
      <c r="I87" s="5">
        <f>'normal_medium_9'!I18</f>
        <v/>
      </c>
      <c r="J87" s="5">
        <f>ABS(I87-H87)</f>
        <v/>
      </c>
      <c r="K87" s="7">
        <f>'normal_medium_9'!J18</f>
        <v/>
      </c>
      <c r="L87" s="5">
        <f>SUMIFS('normal_medium_9'!E7:E16,'normal_medium_9'!D7:D16,"&gt;0")</f>
        <v/>
      </c>
      <c r="M87" s="5">
        <f>SUMIFS('normal_medium_9'!E7:E16,'normal_medium_9'!D7:D16,"=0")</f>
        <v/>
      </c>
      <c r="N87" s="5">
        <f>SUMIFS('normal_medium_9'!E7:E16,'normal_medium_9'!D7:D16,"&gt;"&amp;B87)</f>
        <v/>
      </c>
      <c r="O87" s="5">
        <f>'normal_medium_9'!H18</f>
        <v/>
      </c>
      <c r="P87" s="5">
        <f>SQRT(SUMPRODUCT('normal_medium_9'!E7:E16,('normal_medium_9'!D7:D16-O87)^2))</f>
        <v/>
      </c>
      <c r="Q87" s="5">
        <f>'normal_medium_9'!B21</f>
        <v/>
      </c>
      <c r="R87" s="5">
        <f>'normal_medium_9'!B22</f>
        <v/>
      </c>
      <c r="S87" s="5">
        <f>'normal_medium_9'!B25</f>
        <v/>
      </c>
    </row>
    <row r="89">
      <c r="A89" s="3" t="inlineStr">
        <is>
          <t>Summary Checks</t>
        </is>
      </c>
    </row>
    <row r="90">
      <c r="A90" s="4" t="inlineStr">
        <is>
          <t>Key</t>
        </is>
      </c>
      <c r="B90" s="4" t="inlineStr">
        <is>
          <t>Value</t>
        </is>
      </c>
    </row>
    <row r="91">
      <c r="A91" s="5" t="inlineStr">
        <is>
          <t>Modes analyzed</t>
        </is>
      </c>
      <c r="B91" s="5">
        <f>ROWS(A16:A87)</f>
        <v/>
      </c>
    </row>
    <row r="92">
      <c r="A92" s="5" t="inlineStr">
        <is>
          <t>RTP pass count</t>
        </is>
      </c>
      <c r="B92" s="5">
        <f>COUNTIF(K16:K87,TRUE)</f>
        <v/>
      </c>
    </row>
    <row r="93">
      <c r="A93" s="5" t="inlineStr">
        <is>
          <t>Probability sum pass count</t>
        </is>
      </c>
      <c r="B93" s="5">
        <f>IF(178&lt;107,0,COUNTIFS(D107:D178,"&lt;&gt;",D107:D178,"&gt;=0.999999999",D107:D178,"&lt;=1.000000001"))</f>
        <v/>
      </c>
    </row>
    <row r="94">
      <c r="A94" s="5" t="inlineStr">
        <is>
          <t>All RTP pass</t>
        </is>
      </c>
      <c r="B94" s="5">
        <f>COUNTIF(K16:K87,FALSE)=0</f>
        <v/>
      </c>
    </row>
    <row r="95">
      <c r="A95" s="5" t="inlineStr">
        <is>
          <t>Bucket structure pass count</t>
        </is>
      </c>
      <c r="B95" s="5">
        <f>COUNTIF(G16:G87,TRUE)</f>
        <v/>
      </c>
    </row>
    <row r="96">
      <c r="A96" s="5" t="inlineStr">
        <is>
          <t>Min RTP Drift</t>
        </is>
      </c>
      <c r="B96" s="5">
        <f>MIN(J16:J87)</f>
        <v/>
      </c>
    </row>
    <row r="97">
      <c r="A97" s="5" t="inlineStr">
        <is>
          <t>Max RTP Drift</t>
        </is>
      </c>
      <c r="B97" s="5">
        <f>MAX(J16:J87)</f>
        <v/>
      </c>
    </row>
    <row r="99">
      <c r="A99" s="3" t="inlineStr">
        <is>
          <t>Validation Snapshot</t>
        </is>
      </c>
    </row>
    <row r="100">
      <c r="A100" s="4" t="inlineStr">
        <is>
          <t>Key</t>
        </is>
      </c>
      <c r="B100" s="4" t="inlineStr">
        <is>
          <t>Value</t>
        </is>
      </c>
    </row>
    <row r="101">
      <c r="A101" s="5" t="inlineStr">
        <is>
          <t>Modes analyzed</t>
        </is>
      </c>
      <c r="B101" s="5">
        <f>ROWS(A16:A87)</f>
        <v/>
      </c>
    </row>
    <row r="102">
      <c r="A102" s="5" t="inlineStr">
        <is>
          <t>All RTP pass</t>
        </is>
      </c>
      <c r="B102" s="5">
        <f>COUNTIF(K16:K87,FALSE)=0</f>
        <v/>
      </c>
    </row>
    <row r="103">
      <c r="A103" s="5" t="inlineStr">
        <is>
          <t>Generated workbook</t>
        </is>
      </c>
      <c r="B103" s="5" t="inlineStr">
        <is>
          <t>F:\Gaming\Stakes\math-sdk\games\azteck_plinko_biased_binomial\AzteckPlinkoBiased_audit_formulas.xlsx</t>
        </is>
      </c>
    </row>
    <row r="105">
      <c r="A105" s="3" t="inlineStr">
        <is>
          <t>Formula Audit Metrics</t>
        </is>
      </c>
    </row>
    <row r="106">
      <c r="A106" s="6" t="inlineStr">
        <is>
          <t>Mode</t>
        </is>
      </c>
      <c r="B106" s="6" t="inlineStr">
        <is>
          <t>Cost</t>
        </is>
      </c>
      <c r="C106" s="6" t="inlineStr">
        <is>
          <t>Target RTP</t>
        </is>
      </c>
      <c r="D106" s="6" t="inlineStr">
        <is>
          <t>Probability Sum</t>
        </is>
      </c>
      <c r="E106" s="6" t="inlineStr">
        <is>
          <t>Max |p_binomial - p_weight|</t>
        </is>
      </c>
      <c r="F106" s="6" t="inlineStr">
        <is>
          <t>Payout Sum</t>
        </is>
      </c>
      <c r="G106" s="6" t="inlineStr">
        <is>
          <t>Weighted Mean</t>
        </is>
      </c>
      <c r="H106" s="6" t="inlineStr">
        <is>
          <t>RTP</t>
        </is>
      </c>
      <c r="I106" s="6" t="inlineStr">
        <is>
          <t>RTP Drift</t>
        </is>
      </c>
      <c r="J106" s="6" t="inlineStr">
        <is>
          <t>RTP Pass</t>
        </is>
      </c>
      <c r="K106" s="6" t="inlineStr">
        <is>
          <t>Weight Sum</t>
        </is>
      </c>
    </row>
    <row r="107">
      <c r="A107" t="inlineStr">
        <is>
          <t>buy100_expert_10</t>
        </is>
      </c>
      <c r="B107">
        <f>'buy100_expert_10'!$B$3</f>
        <v/>
      </c>
      <c r="C107">
        <f>'buy100_expert_10'!$D$3</f>
        <v/>
      </c>
      <c r="D107">
        <f>'buy100_expert_10'!E19</f>
        <v/>
      </c>
      <c r="E107">
        <f>'buy100_expert_10'!G19</f>
        <v/>
      </c>
      <c r="F107">
        <f>'buy100_expert_10'!D19</f>
        <v/>
      </c>
      <c r="G107">
        <f>'buy100_expert_10'!H19</f>
        <v/>
      </c>
      <c r="H107">
        <f>'buy100_expert_10'!I19</f>
        <v/>
      </c>
      <c r="I107">
        <f>'buy100_expert_10'!B20</f>
        <v/>
      </c>
      <c r="J107">
        <f>'buy100_expert_10'!J19</f>
        <v/>
      </c>
      <c r="K107">
        <f>'buy100_expert_10'!B19</f>
        <v/>
      </c>
    </row>
    <row r="108">
      <c r="A108" t="inlineStr">
        <is>
          <t>buy100_expert_11</t>
        </is>
      </c>
      <c r="B108">
        <f>'buy100_expert_11'!$B$3</f>
        <v/>
      </c>
      <c r="C108">
        <f>'buy100_expert_11'!$D$3</f>
        <v/>
      </c>
      <c r="D108">
        <f>'buy100_expert_11'!E20</f>
        <v/>
      </c>
      <c r="E108">
        <f>'buy100_expert_11'!G20</f>
        <v/>
      </c>
      <c r="F108">
        <f>'buy100_expert_11'!D20</f>
        <v/>
      </c>
      <c r="G108">
        <f>'buy100_expert_11'!H20</f>
        <v/>
      </c>
      <c r="H108">
        <f>'buy100_expert_11'!I20</f>
        <v/>
      </c>
      <c r="I108">
        <f>'buy100_expert_11'!B21</f>
        <v/>
      </c>
      <c r="J108">
        <f>'buy100_expert_11'!J20</f>
        <v/>
      </c>
      <c r="K108">
        <f>'buy100_expert_11'!B20</f>
        <v/>
      </c>
    </row>
    <row r="109">
      <c r="A109" t="inlineStr">
        <is>
          <t>buy100_expert_12</t>
        </is>
      </c>
      <c r="B109">
        <f>'buy100_expert_12'!$B$3</f>
        <v/>
      </c>
      <c r="C109">
        <f>'buy100_expert_12'!$D$3</f>
        <v/>
      </c>
      <c r="D109">
        <f>'buy100_expert_12'!E21</f>
        <v/>
      </c>
      <c r="E109">
        <f>'buy100_expert_12'!G21</f>
        <v/>
      </c>
      <c r="F109">
        <f>'buy100_expert_12'!D21</f>
        <v/>
      </c>
      <c r="G109">
        <f>'buy100_expert_12'!H21</f>
        <v/>
      </c>
      <c r="H109">
        <f>'buy100_expert_12'!I21</f>
        <v/>
      </c>
      <c r="I109">
        <f>'buy100_expert_12'!B22</f>
        <v/>
      </c>
      <c r="J109">
        <f>'buy100_expert_12'!J21</f>
        <v/>
      </c>
      <c r="K109">
        <f>'buy100_expert_12'!B21</f>
        <v/>
      </c>
    </row>
    <row r="110">
      <c r="A110" t="inlineStr">
        <is>
          <t>buy100_expert_13</t>
        </is>
      </c>
      <c r="B110">
        <f>'buy100_expert_13'!$B$3</f>
        <v/>
      </c>
      <c r="C110">
        <f>'buy100_expert_13'!$D$3</f>
        <v/>
      </c>
      <c r="D110">
        <f>'buy100_expert_13'!E22</f>
        <v/>
      </c>
      <c r="E110">
        <f>'buy100_expert_13'!G22</f>
        <v/>
      </c>
      <c r="F110">
        <f>'buy100_expert_13'!D22</f>
        <v/>
      </c>
      <c r="G110">
        <f>'buy100_expert_13'!H22</f>
        <v/>
      </c>
      <c r="H110">
        <f>'buy100_expert_13'!I22</f>
        <v/>
      </c>
      <c r="I110">
        <f>'buy100_expert_13'!B23</f>
        <v/>
      </c>
      <c r="J110">
        <f>'buy100_expert_13'!J22</f>
        <v/>
      </c>
      <c r="K110">
        <f>'buy100_expert_13'!B22</f>
        <v/>
      </c>
    </row>
    <row r="111">
      <c r="A111" t="inlineStr">
        <is>
          <t>buy100_expert_14</t>
        </is>
      </c>
      <c r="B111">
        <f>'buy100_expert_14'!$B$3</f>
        <v/>
      </c>
      <c r="C111">
        <f>'buy100_expert_14'!$D$3</f>
        <v/>
      </c>
      <c r="D111">
        <f>'buy100_expert_14'!E23</f>
        <v/>
      </c>
      <c r="E111">
        <f>'buy100_expert_14'!G23</f>
        <v/>
      </c>
      <c r="F111">
        <f>'buy100_expert_14'!D23</f>
        <v/>
      </c>
      <c r="G111">
        <f>'buy100_expert_14'!H23</f>
        <v/>
      </c>
      <c r="H111">
        <f>'buy100_expert_14'!I23</f>
        <v/>
      </c>
      <c r="I111">
        <f>'buy100_expert_14'!B24</f>
        <v/>
      </c>
      <c r="J111">
        <f>'buy100_expert_14'!J23</f>
        <v/>
      </c>
      <c r="K111">
        <f>'buy100_expert_14'!B23</f>
        <v/>
      </c>
    </row>
    <row r="112">
      <c r="A112" t="inlineStr">
        <is>
          <t>buy100_expert_15</t>
        </is>
      </c>
      <c r="B112">
        <f>'buy100_expert_15'!$B$3</f>
        <v/>
      </c>
      <c r="C112">
        <f>'buy100_expert_15'!$D$3</f>
        <v/>
      </c>
      <c r="D112">
        <f>'buy100_expert_15'!E24</f>
        <v/>
      </c>
      <c r="E112">
        <f>'buy100_expert_15'!G24</f>
        <v/>
      </c>
      <c r="F112">
        <f>'buy100_expert_15'!D24</f>
        <v/>
      </c>
      <c r="G112">
        <f>'buy100_expert_15'!H24</f>
        <v/>
      </c>
      <c r="H112">
        <f>'buy100_expert_15'!I24</f>
        <v/>
      </c>
      <c r="I112">
        <f>'buy100_expert_15'!B25</f>
        <v/>
      </c>
      <c r="J112">
        <f>'buy100_expert_15'!J24</f>
        <v/>
      </c>
      <c r="K112">
        <f>'buy100_expert_15'!B24</f>
        <v/>
      </c>
    </row>
    <row r="113">
      <c r="A113" t="inlineStr">
        <is>
          <t>buy100_expert_16</t>
        </is>
      </c>
      <c r="B113">
        <f>'buy100_expert_16'!$B$3</f>
        <v/>
      </c>
      <c r="C113">
        <f>'buy100_expert_16'!$D$3</f>
        <v/>
      </c>
      <c r="D113">
        <f>'buy100_expert_16'!E25</f>
        <v/>
      </c>
      <c r="E113">
        <f>'buy100_expert_16'!G25</f>
        <v/>
      </c>
      <c r="F113">
        <f>'buy100_expert_16'!D25</f>
        <v/>
      </c>
      <c r="G113">
        <f>'buy100_expert_16'!H25</f>
        <v/>
      </c>
      <c r="H113">
        <f>'buy100_expert_16'!I25</f>
        <v/>
      </c>
      <c r="I113">
        <f>'buy100_expert_16'!B26</f>
        <v/>
      </c>
      <c r="J113">
        <f>'buy100_expert_16'!J25</f>
        <v/>
      </c>
      <c r="K113">
        <f>'buy100_expert_16'!B25</f>
        <v/>
      </c>
    </row>
    <row r="114">
      <c r="A114" t="inlineStr">
        <is>
          <t>buy100_expert_8</t>
        </is>
      </c>
      <c r="B114">
        <f>'buy100_expert_8'!$B$3</f>
        <v/>
      </c>
      <c r="C114">
        <f>'buy100_expert_8'!$D$3</f>
        <v/>
      </c>
      <c r="D114">
        <f>'buy100_expert_8'!E17</f>
        <v/>
      </c>
      <c r="E114">
        <f>'buy100_expert_8'!G17</f>
        <v/>
      </c>
      <c r="F114">
        <f>'buy100_expert_8'!D17</f>
        <v/>
      </c>
      <c r="G114">
        <f>'buy100_expert_8'!H17</f>
        <v/>
      </c>
      <c r="H114">
        <f>'buy100_expert_8'!I17</f>
        <v/>
      </c>
      <c r="I114">
        <f>'buy100_expert_8'!B18</f>
        <v/>
      </c>
      <c r="J114">
        <f>'buy100_expert_8'!J17</f>
        <v/>
      </c>
      <c r="K114">
        <f>'buy100_expert_8'!B17</f>
        <v/>
      </c>
    </row>
    <row r="115">
      <c r="A115" t="inlineStr">
        <is>
          <t>buy100_expert_9</t>
        </is>
      </c>
      <c r="B115">
        <f>'buy100_expert_9'!$B$3</f>
        <v/>
      </c>
      <c r="C115">
        <f>'buy100_expert_9'!$D$3</f>
        <v/>
      </c>
      <c r="D115">
        <f>'buy100_expert_9'!E18</f>
        <v/>
      </c>
      <c r="E115">
        <f>'buy100_expert_9'!G18</f>
        <v/>
      </c>
      <c r="F115">
        <f>'buy100_expert_9'!D18</f>
        <v/>
      </c>
      <c r="G115">
        <f>'buy100_expert_9'!H18</f>
        <v/>
      </c>
      <c r="H115">
        <f>'buy100_expert_9'!I18</f>
        <v/>
      </c>
      <c r="I115">
        <f>'buy100_expert_9'!B19</f>
        <v/>
      </c>
      <c r="J115">
        <f>'buy100_expert_9'!J18</f>
        <v/>
      </c>
      <c r="K115">
        <f>'buy100_expert_9'!B18</f>
        <v/>
      </c>
    </row>
    <row r="116">
      <c r="A116" t="inlineStr">
        <is>
          <t>buy100_high_10</t>
        </is>
      </c>
      <c r="B116">
        <f>'buy100_high_10'!$B$3</f>
        <v/>
      </c>
      <c r="C116">
        <f>'buy100_high_10'!$D$3</f>
        <v/>
      </c>
      <c r="D116">
        <f>'buy100_high_10'!E19</f>
        <v/>
      </c>
      <c r="E116">
        <f>'buy100_high_10'!G19</f>
        <v/>
      </c>
      <c r="F116">
        <f>'buy100_high_10'!D19</f>
        <v/>
      </c>
      <c r="G116">
        <f>'buy100_high_10'!H19</f>
        <v/>
      </c>
      <c r="H116">
        <f>'buy100_high_10'!I19</f>
        <v/>
      </c>
      <c r="I116">
        <f>'buy100_high_10'!B20</f>
        <v/>
      </c>
      <c r="J116">
        <f>'buy100_high_10'!J19</f>
        <v/>
      </c>
      <c r="K116">
        <f>'buy100_high_10'!B19</f>
        <v/>
      </c>
    </row>
    <row r="117">
      <c r="A117" t="inlineStr">
        <is>
          <t>buy100_high_11</t>
        </is>
      </c>
      <c r="B117">
        <f>'buy100_high_11'!$B$3</f>
        <v/>
      </c>
      <c r="C117">
        <f>'buy100_high_11'!$D$3</f>
        <v/>
      </c>
      <c r="D117">
        <f>'buy100_high_11'!E20</f>
        <v/>
      </c>
      <c r="E117">
        <f>'buy100_high_11'!G20</f>
        <v/>
      </c>
      <c r="F117">
        <f>'buy100_high_11'!D20</f>
        <v/>
      </c>
      <c r="G117">
        <f>'buy100_high_11'!H20</f>
        <v/>
      </c>
      <c r="H117">
        <f>'buy100_high_11'!I20</f>
        <v/>
      </c>
      <c r="I117">
        <f>'buy100_high_11'!B21</f>
        <v/>
      </c>
      <c r="J117">
        <f>'buy100_high_11'!J20</f>
        <v/>
      </c>
      <c r="K117">
        <f>'buy100_high_11'!B20</f>
        <v/>
      </c>
    </row>
    <row r="118">
      <c r="A118" t="inlineStr">
        <is>
          <t>buy100_high_12</t>
        </is>
      </c>
      <c r="B118">
        <f>'buy100_high_12'!$B$3</f>
        <v/>
      </c>
      <c r="C118">
        <f>'buy100_high_12'!$D$3</f>
        <v/>
      </c>
      <c r="D118">
        <f>'buy100_high_12'!E21</f>
        <v/>
      </c>
      <c r="E118">
        <f>'buy100_high_12'!G21</f>
        <v/>
      </c>
      <c r="F118">
        <f>'buy100_high_12'!D21</f>
        <v/>
      </c>
      <c r="G118">
        <f>'buy100_high_12'!H21</f>
        <v/>
      </c>
      <c r="H118">
        <f>'buy100_high_12'!I21</f>
        <v/>
      </c>
      <c r="I118">
        <f>'buy100_high_12'!B22</f>
        <v/>
      </c>
      <c r="J118">
        <f>'buy100_high_12'!J21</f>
        <v/>
      </c>
      <c r="K118">
        <f>'buy100_high_12'!B21</f>
        <v/>
      </c>
    </row>
    <row r="119">
      <c r="A119" t="inlineStr">
        <is>
          <t>buy100_high_13</t>
        </is>
      </c>
      <c r="B119">
        <f>'buy100_high_13'!$B$3</f>
        <v/>
      </c>
      <c r="C119">
        <f>'buy100_high_13'!$D$3</f>
        <v/>
      </c>
      <c r="D119">
        <f>'buy100_high_13'!E22</f>
        <v/>
      </c>
      <c r="E119">
        <f>'buy100_high_13'!G22</f>
        <v/>
      </c>
      <c r="F119">
        <f>'buy100_high_13'!D22</f>
        <v/>
      </c>
      <c r="G119">
        <f>'buy100_high_13'!H22</f>
        <v/>
      </c>
      <c r="H119">
        <f>'buy100_high_13'!I22</f>
        <v/>
      </c>
      <c r="I119">
        <f>'buy100_high_13'!B23</f>
        <v/>
      </c>
      <c r="J119">
        <f>'buy100_high_13'!J22</f>
        <v/>
      </c>
      <c r="K119">
        <f>'buy100_high_13'!B22</f>
        <v/>
      </c>
    </row>
    <row r="120">
      <c r="A120" t="inlineStr">
        <is>
          <t>buy100_high_14</t>
        </is>
      </c>
      <c r="B120">
        <f>'buy100_high_14'!$B$3</f>
        <v/>
      </c>
      <c r="C120">
        <f>'buy100_high_14'!$D$3</f>
        <v/>
      </c>
      <c r="D120">
        <f>'buy100_high_14'!E23</f>
        <v/>
      </c>
      <c r="E120">
        <f>'buy100_high_14'!G23</f>
        <v/>
      </c>
      <c r="F120">
        <f>'buy100_high_14'!D23</f>
        <v/>
      </c>
      <c r="G120">
        <f>'buy100_high_14'!H23</f>
        <v/>
      </c>
      <c r="H120">
        <f>'buy100_high_14'!I23</f>
        <v/>
      </c>
      <c r="I120">
        <f>'buy100_high_14'!B24</f>
        <v/>
      </c>
      <c r="J120">
        <f>'buy100_high_14'!J23</f>
        <v/>
      </c>
      <c r="K120">
        <f>'buy100_high_14'!B23</f>
        <v/>
      </c>
    </row>
    <row r="121">
      <c r="A121" t="inlineStr">
        <is>
          <t>buy100_high_15</t>
        </is>
      </c>
      <c r="B121">
        <f>'buy100_high_15'!$B$3</f>
        <v/>
      </c>
      <c r="C121">
        <f>'buy100_high_15'!$D$3</f>
        <v/>
      </c>
      <c r="D121">
        <f>'buy100_high_15'!E24</f>
        <v/>
      </c>
      <c r="E121">
        <f>'buy100_high_15'!G24</f>
        <v/>
      </c>
      <c r="F121">
        <f>'buy100_high_15'!D24</f>
        <v/>
      </c>
      <c r="G121">
        <f>'buy100_high_15'!H24</f>
        <v/>
      </c>
      <c r="H121">
        <f>'buy100_high_15'!I24</f>
        <v/>
      </c>
      <c r="I121">
        <f>'buy100_high_15'!B25</f>
        <v/>
      </c>
      <c r="J121">
        <f>'buy100_high_15'!J24</f>
        <v/>
      </c>
      <c r="K121">
        <f>'buy100_high_15'!B24</f>
        <v/>
      </c>
    </row>
    <row r="122">
      <c r="A122" t="inlineStr">
        <is>
          <t>buy100_high_16</t>
        </is>
      </c>
      <c r="B122">
        <f>'buy100_high_16'!$B$3</f>
        <v/>
      </c>
      <c r="C122">
        <f>'buy100_high_16'!$D$3</f>
        <v/>
      </c>
      <c r="D122">
        <f>'buy100_high_16'!E25</f>
        <v/>
      </c>
      <c r="E122">
        <f>'buy100_high_16'!G25</f>
        <v/>
      </c>
      <c r="F122">
        <f>'buy100_high_16'!D25</f>
        <v/>
      </c>
      <c r="G122">
        <f>'buy100_high_16'!H25</f>
        <v/>
      </c>
      <c r="H122">
        <f>'buy100_high_16'!I25</f>
        <v/>
      </c>
      <c r="I122">
        <f>'buy100_high_16'!B26</f>
        <v/>
      </c>
      <c r="J122">
        <f>'buy100_high_16'!J25</f>
        <v/>
      </c>
      <c r="K122">
        <f>'buy100_high_16'!B25</f>
        <v/>
      </c>
    </row>
    <row r="123">
      <c r="A123" t="inlineStr">
        <is>
          <t>buy100_high_8</t>
        </is>
      </c>
      <c r="B123">
        <f>'buy100_high_8'!$B$3</f>
        <v/>
      </c>
      <c r="C123">
        <f>'buy100_high_8'!$D$3</f>
        <v/>
      </c>
      <c r="D123">
        <f>'buy100_high_8'!E17</f>
        <v/>
      </c>
      <c r="E123">
        <f>'buy100_high_8'!G17</f>
        <v/>
      </c>
      <c r="F123">
        <f>'buy100_high_8'!D17</f>
        <v/>
      </c>
      <c r="G123">
        <f>'buy100_high_8'!H17</f>
        <v/>
      </c>
      <c r="H123">
        <f>'buy100_high_8'!I17</f>
        <v/>
      </c>
      <c r="I123">
        <f>'buy100_high_8'!B18</f>
        <v/>
      </c>
      <c r="J123">
        <f>'buy100_high_8'!J17</f>
        <v/>
      </c>
      <c r="K123">
        <f>'buy100_high_8'!B17</f>
        <v/>
      </c>
    </row>
    <row r="124">
      <c r="A124" t="inlineStr">
        <is>
          <t>buy100_high_9</t>
        </is>
      </c>
      <c r="B124">
        <f>'buy100_high_9'!$B$3</f>
        <v/>
      </c>
      <c r="C124">
        <f>'buy100_high_9'!$D$3</f>
        <v/>
      </c>
      <c r="D124">
        <f>'buy100_high_9'!E18</f>
        <v/>
      </c>
      <c r="E124">
        <f>'buy100_high_9'!G18</f>
        <v/>
      </c>
      <c r="F124">
        <f>'buy100_high_9'!D18</f>
        <v/>
      </c>
      <c r="G124">
        <f>'buy100_high_9'!H18</f>
        <v/>
      </c>
      <c r="H124">
        <f>'buy100_high_9'!I18</f>
        <v/>
      </c>
      <c r="I124">
        <f>'buy100_high_9'!B19</f>
        <v/>
      </c>
      <c r="J124">
        <f>'buy100_high_9'!J18</f>
        <v/>
      </c>
      <c r="K124">
        <f>'buy100_high_9'!B18</f>
        <v/>
      </c>
    </row>
    <row r="125">
      <c r="A125" t="inlineStr">
        <is>
          <t>buy100_low_10</t>
        </is>
      </c>
      <c r="B125">
        <f>'buy100_low_10'!$B$3</f>
        <v/>
      </c>
      <c r="C125">
        <f>'buy100_low_10'!$D$3</f>
        <v/>
      </c>
      <c r="D125">
        <f>'buy100_low_10'!E19</f>
        <v/>
      </c>
      <c r="E125">
        <f>'buy100_low_10'!G19</f>
        <v/>
      </c>
      <c r="F125">
        <f>'buy100_low_10'!D19</f>
        <v/>
      </c>
      <c r="G125">
        <f>'buy100_low_10'!H19</f>
        <v/>
      </c>
      <c r="H125">
        <f>'buy100_low_10'!I19</f>
        <v/>
      </c>
      <c r="I125">
        <f>'buy100_low_10'!B20</f>
        <v/>
      </c>
      <c r="J125">
        <f>'buy100_low_10'!J19</f>
        <v/>
      </c>
      <c r="K125">
        <f>'buy100_low_10'!B19</f>
        <v/>
      </c>
    </row>
    <row r="126">
      <c r="A126" t="inlineStr">
        <is>
          <t>buy100_low_11</t>
        </is>
      </c>
      <c r="B126">
        <f>'buy100_low_11'!$B$3</f>
        <v/>
      </c>
      <c r="C126">
        <f>'buy100_low_11'!$D$3</f>
        <v/>
      </c>
      <c r="D126">
        <f>'buy100_low_11'!E20</f>
        <v/>
      </c>
      <c r="E126">
        <f>'buy100_low_11'!G20</f>
        <v/>
      </c>
      <c r="F126">
        <f>'buy100_low_11'!D20</f>
        <v/>
      </c>
      <c r="G126">
        <f>'buy100_low_11'!H20</f>
        <v/>
      </c>
      <c r="H126">
        <f>'buy100_low_11'!I20</f>
        <v/>
      </c>
      <c r="I126">
        <f>'buy100_low_11'!B21</f>
        <v/>
      </c>
      <c r="J126">
        <f>'buy100_low_11'!J20</f>
        <v/>
      </c>
      <c r="K126">
        <f>'buy100_low_11'!B20</f>
        <v/>
      </c>
    </row>
    <row r="127">
      <c r="A127" t="inlineStr">
        <is>
          <t>buy100_low_12</t>
        </is>
      </c>
      <c r="B127">
        <f>'buy100_low_12'!$B$3</f>
        <v/>
      </c>
      <c r="C127">
        <f>'buy100_low_12'!$D$3</f>
        <v/>
      </c>
      <c r="D127">
        <f>'buy100_low_12'!E21</f>
        <v/>
      </c>
      <c r="E127">
        <f>'buy100_low_12'!G21</f>
        <v/>
      </c>
      <c r="F127">
        <f>'buy100_low_12'!D21</f>
        <v/>
      </c>
      <c r="G127">
        <f>'buy100_low_12'!H21</f>
        <v/>
      </c>
      <c r="H127">
        <f>'buy100_low_12'!I21</f>
        <v/>
      </c>
      <c r="I127">
        <f>'buy100_low_12'!B22</f>
        <v/>
      </c>
      <c r="J127">
        <f>'buy100_low_12'!J21</f>
        <v/>
      </c>
      <c r="K127">
        <f>'buy100_low_12'!B21</f>
        <v/>
      </c>
    </row>
    <row r="128">
      <c r="A128" t="inlineStr">
        <is>
          <t>buy100_low_13</t>
        </is>
      </c>
      <c r="B128">
        <f>'buy100_low_13'!$B$3</f>
        <v/>
      </c>
      <c r="C128">
        <f>'buy100_low_13'!$D$3</f>
        <v/>
      </c>
      <c r="D128">
        <f>'buy100_low_13'!E22</f>
        <v/>
      </c>
      <c r="E128">
        <f>'buy100_low_13'!G22</f>
        <v/>
      </c>
      <c r="F128">
        <f>'buy100_low_13'!D22</f>
        <v/>
      </c>
      <c r="G128">
        <f>'buy100_low_13'!H22</f>
        <v/>
      </c>
      <c r="H128">
        <f>'buy100_low_13'!I22</f>
        <v/>
      </c>
      <c r="I128">
        <f>'buy100_low_13'!B23</f>
        <v/>
      </c>
      <c r="J128">
        <f>'buy100_low_13'!J22</f>
        <v/>
      </c>
      <c r="K128">
        <f>'buy100_low_13'!B22</f>
        <v/>
      </c>
    </row>
    <row r="129">
      <c r="A129" t="inlineStr">
        <is>
          <t>buy100_low_14</t>
        </is>
      </c>
      <c r="B129">
        <f>'buy100_low_14'!$B$3</f>
        <v/>
      </c>
      <c r="C129">
        <f>'buy100_low_14'!$D$3</f>
        <v/>
      </c>
      <c r="D129">
        <f>'buy100_low_14'!E23</f>
        <v/>
      </c>
      <c r="E129">
        <f>'buy100_low_14'!G23</f>
        <v/>
      </c>
      <c r="F129">
        <f>'buy100_low_14'!D23</f>
        <v/>
      </c>
      <c r="G129">
        <f>'buy100_low_14'!H23</f>
        <v/>
      </c>
      <c r="H129">
        <f>'buy100_low_14'!I23</f>
        <v/>
      </c>
      <c r="I129">
        <f>'buy100_low_14'!B24</f>
        <v/>
      </c>
      <c r="J129">
        <f>'buy100_low_14'!J23</f>
        <v/>
      </c>
      <c r="K129">
        <f>'buy100_low_14'!B23</f>
        <v/>
      </c>
    </row>
    <row r="130">
      <c r="A130" t="inlineStr">
        <is>
          <t>buy100_low_15</t>
        </is>
      </c>
      <c r="B130">
        <f>'buy100_low_15'!$B$3</f>
        <v/>
      </c>
      <c r="C130">
        <f>'buy100_low_15'!$D$3</f>
        <v/>
      </c>
      <c r="D130">
        <f>'buy100_low_15'!E24</f>
        <v/>
      </c>
      <c r="E130">
        <f>'buy100_low_15'!G24</f>
        <v/>
      </c>
      <c r="F130">
        <f>'buy100_low_15'!D24</f>
        <v/>
      </c>
      <c r="G130">
        <f>'buy100_low_15'!H24</f>
        <v/>
      </c>
      <c r="H130">
        <f>'buy100_low_15'!I24</f>
        <v/>
      </c>
      <c r="I130">
        <f>'buy100_low_15'!B25</f>
        <v/>
      </c>
      <c r="J130">
        <f>'buy100_low_15'!J24</f>
        <v/>
      </c>
      <c r="K130">
        <f>'buy100_low_15'!B24</f>
        <v/>
      </c>
    </row>
    <row r="131">
      <c r="A131" t="inlineStr">
        <is>
          <t>buy100_low_16</t>
        </is>
      </c>
      <c r="B131">
        <f>'buy100_low_16'!$B$3</f>
        <v/>
      </c>
      <c r="C131">
        <f>'buy100_low_16'!$D$3</f>
        <v/>
      </c>
      <c r="D131">
        <f>'buy100_low_16'!E25</f>
        <v/>
      </c>
      <c r="E131">
        <f>'buy100_low_16'!G25</f>
        <v/>
      </c>
      <c r="F131">
        <f>'buy100_low_16'!D25</f>
        <v/>
      </c>
      <c r="G131">
        <f>'buy100_low_16'!H25</f>
        <v/>
      </c>
      <c r="H131">
        <f>'buy100_low_16'!I25</f>
        <v/>
      </c>
      <c r="I131">
        <f>'buy100_low_16'!B26</f>
        <v/>
      </c>
      <c r="J131">
        <f>'buy100_low_16'!J25</f>
        <v/>
      </c>
      <c r="K131">
        <f>'buy100_low_16'!B25</f>
        <v/>
      </c>
    </row>
    <row r="132">
      <c r="A132" t="inlineStr">
        <is>
          <t>buy100_low_8</t>
        </is>
      </c>
      <c r="B132">
        <f>'buy100_low_8'!$B$3</f>
        <v/>
      </c>
      <c r="C132">
        <f>'buy100_low_8'!$D$3</f>
        <v/>
      </c>
      <c r="D132">
        <f>'buy100_low_8'!E17</f>
        <v/>
      </c>
      <c r="E132">
        <f>'buy100_low_8'!G17</f>
        <v/>
      </c>
      <c r="F132">
        <f>'buy100_low_8'!D17</f>
        <v/>
      </c>
      <c r="G132">
        <f>'buy100_low_8'!H17</f>
        <v/>
      </c>
      <c r="H132">
        <f>'buy100_low_8'!I17</f>
        <v/>
      </c>
      <c r="I132">
        <f>'buy100_low_8'!B18</f>
        <v/>
      </c>
      <c r="J132">
        <f>'buy100_low_8'!J17</f>
        <v/>
      </c>
      <c r="K132">
        <f>'buy100_low_8'!B17</f>
        <v/>
      </c>
    </row>
    <row r="133">
      <c r="A133" t="inlineStr">
        <is>
          <t>buy100_low_9</t>
        </is>
      </c>
      <c r="B133">
        <f>'buy100_low_9'!$B$3</f>
        <v/>
      </c>
      <c r="C133">
        <f>'buy100_low_9'!$D$3</f>
        <v/>
      </c>
      <c r="D133">
        <f>'buy100_low_9'!E18</f>
        <v/>
      </c>
      <c r="E133">
        <f>'buy100_low_9'!G18</f>
        <v/>
      </c>
      <c r="F133">
        <f>'buy100_low_9'!D18</f>
        <v/>
      </c>
      <c r="G133">
        <f>'buy100_low_9'!H18</f>
        <v/>
      </c>
      <c r="H133">
        <f>'buy100_low_9'!I18</f>
        <v/>
      </c>
      <c r="I133">
        <f>'buy100_low_9'!B19</f>
        <v/>
      </c>
      <c r="J133">
        <f>'buy100_low_9'!J18</f>
        <v/>
      </c>
      <c r="K133">
        <f>'buy100_low_9'!B18</f>
        <v/>
      </c>
    </row>
    <row r="134">
      <c r="A134" t="inlineStr">
        <is>
          <t>buy100_medium_10</t>
        </is>
      </c>
      <c r="B134">
        <f>'buy100_medium_10'!$B$3</f>
        <v/>
      </c>
      <c r="C134">
        <f>'buy100_medium_10'!$D$3</f>
        <v/>
      </c>
      <c r="D134">
        <f>'buy100_medium_10'!E19</f>
        <v/>
      </c>
      <c r="E134">
        <f>'buy100_medium_10'!G19</f>
        <v/>
      </c>
      <c r="F134">
        <f>'buy100_medium_10'!D19</f>
        <v/>
      </c>
      <c r="G134">
        <f>'buy100_medium_10'!H19</f>
        <v/>
      </c>
      <c r="H134">
        <f>'buy100_medium_10'!I19</f>
        <v/>
      </c>
      <c r="I134">
        <f>'buy100_medium_10'!B20</f>
        <v/>
      </c>
      <c r="J134">
        <f>'buy100_medium_10'!J19</f>
        <v/>
      </c>
      <c r="K134">
        <f>'buy100_medium_10'!B19</f>
        <v/>
      </c>
    </row>
    <row r="135">
      <c r="A135" t="inlineStr">
        <is>
          <t>buy100_medium_11</t>
        </is>
      </c>
      <c r="B135">
        <f>'buy100_medium_11'!$B$3</f>
        <v/>
      </c>
      <c r="C135">
        <f>'buy100_medium_11'!$D$3</f>
        <v/>
      </c>
      <c r="D135">
        <f>'buy100_medium_11'!E20</f>
        <v/>
      </c>
      <c r="E135">
        <f>'buy100_medium_11'!G20</f>
        <v/>
      </c>
      <c r="F135">
        <f>'buy100_medium_11'!D20</f>
        <v/>
      </c>
      <c r="G135">
        <f>'buy100_medium_11'!H20</f>
        <v/>
      </c>
      <c r="H135">
        <f>'buy100_medium_11'!I20</f>
        <v/>
      </c>
      <c r="I135">
        <f>'buy100_medium_11'!B21</f>
        <v/>
      </c>
      <c r="J135">
        <f>'buy100_medium_11'!J20</f>
        <v/>
      </c>
      <c r="K135">
        <f>'buy100_medium_11'!B20</f>
        <v/>
      </c>
    </row>
    <row r="136">
      <c r="A136" t="inlineStr">
        <is>
          <t>buy100_medium_12</t>
        </is>
      </c>
      <c r="B136">
        <f>'buy100_medium_12'!$B$3</f>
        <v/>
      </c>
      <c r="C136">
        <f>'buy100_medium_12'!$D$3</f>
        <v/>
      </c>
      <c r="D136">
        <f>'buy100_medium_12'!E21</f>
        <v/>
      </c>
      <c r="E136">
        <f>'buy100_medium_12'!G21</f>
        <v/>
      </c>
      <c r="F136">
        <f>'buy100_medium_12'!D21</f>
        <v/>
      </c>
      <c r="G136">
        <f>'buy100_medium_12'!H21</f>
        <v/>
      </c>
      <c r="H136">
        <f>'buy100_medium_12'!I21</f>
        <v/>
      </c>
      <c r="I136">
        <f>'buy100_medium_12'!B22</f>
        <v/>
      </c>
      <c r="J136">
        <f>'buy100_medium_12'!J21</f>
        <v/>
      </c>
      <c r="K136">
        <f>'buy100_medium_12'!B21</f>
        <v/>
      </c>
    </row>
    <row r="137">
      <c r="A137" t="inlineStr">
        <is>
          <t>buy100_medium_13</t>
        </is>
      </c>
      <c r="B137">
        <f>'buy100_medium_13'!$B$3</f>
        <v/>
      </c>
      <c r="C137">
        <f>'buy100_medium_13'!$D$3</f>
        <v/>
      </c>
      <c r="D137">
        <f>'buy100_medium_13'!E22</f>
        <v/>
      </c>
      <c r="E137">
        <f>'buy100_medium_13'!G22</f>
        <v/>
      </c>
      <c r="F137">
        <f>'buy100_medium_13'!D22</f>
        <v/>
      </c>
      <c r="G137">
        <f>'buy100_medium_13'!H22</f>
        <v/>
      </c>
      <c r="H137">
        <f>'buy100_medium_13'!I22</f>
        <v/>
      </c>
      <c r="I137">
        <f>'buy100_medium_13'!B23</f>
        <v/>
      </c>
      <c r="J137">
        <f>'buy100_medium_13'!J22</f>
        <v/>
      </c>
      <c r="K137">
        <f>'buy100_medium_13'!B22</f>
        <v/>
      </c>
    </row>
    <row r="138">
      <c r="A138" t="inlineStr">
        <is>
          <t>buy100_medium_14</t>
        </is>
      </c>
      <c r="B138">
        <f>'buy100_medium_14'!$B$3</f>
        <v/>
      </c>
      <c r="C138">
        <f>'buy100_medium_14'!$D$3</f>
        <v/>
      </c>
      <c r="D138">
        <f>'buy100_medium_14'!E23</f>
        <v/>
      </c>
      <c r="E138">
        <f>'buy100_medium_14'!G23</f>
        <v/>
      </c>
      <c r="F138">
        <f>'buy100_medium_14'!D23</f>
        <v/>
      </c>
      <c r="G138">
        <f>'buy100_medium_14'!H23</f>
        <v/>
      </c>
      <c r="H138">
        <f>'buy100_medium_14'!I23</f>
        <v/>
      </c>
      <c r="I138">
        <f>'buy100_medium_14'!B24</f>
        <v/>
      </c>
      <c r="J138">
        <f>'buy100_medium_14'!J23</f>
        <v/>
      </c>
      <c r="K138">
        <f>'buy100_medium_14'!B23</f>
        <v/>
      </c>
    </row>
    <row r="139">
      <c r="A139" t="inlineStr">
        <is>
          <t>buy100_medium_15</t>
        </is>
      </c>
      <c r="B139">
        <f>'buy100_medium_15'!$B$3</f>
        <v/>
      </c>
      <c r="C139">
        <f>'buy100_medium_15'!$D$3</f>
        <v/>
      </c>
      <c r="D139">
        <f>'buy100_medium_15'!E24</f>
        <v/>
      </c>
      <c r="E139">
        <f>'buy100_medium_15'!G24</f>
        <v/>
      </c>
      <c r="F139">
        <f>'buy100_medium_15'!D24</f>
        <v/>
      </c>
      <c r="G139">
        <f>'buy100_medium_15'!H24</f>
        <v/>
      </c>
      <c r="H139">
        <f>'buy100_medium_15'!I24</f>
        <v/>
      </c>
      <c r="I139">
        <f>'buy100_medium_15'!B25</f>
        <v/>
      </c>
      <c r="J139">
        <f>'buy100_medium_15'!J24</f>
        <v/>
      </c>
      <c r="K139">
        <f>'buy100_medium_15'!B24</f>
        <v/>
      </c>
    </row>
    <row r="140">
      <c r="A140" t="inlineStr">
        <is>
          <t>buy100_medium_16</t>
        </is>
      </c>
      <c r="B140">
        <f>'buy100_medium_16'!$B$3</f>
        <v/>
      </c>
      <c r="C140">
        <f>'buy100_medium_16'!$D$3</f>
        <v/>
      </c>
      <c r="D140">
        <f>'buy100_medium_16'!E25</f>
        <v/>
      </c>
      <c r="E140">
        <f>'buy100_medium_16'!G25</f>
        <v/>
      </c>
      <c r="F140">
        <f>'buy100_medium_16'!D25</f>
        <v/>
      </c>
      <c r="G140">
        <f>'buy100_medium_16'!H25</f>
        <v/>
      </c>
      <c r="H140">
        <f>'buy100_medium_16'!I25</f>
        <v/>
      </c>
      <c r="I140">
        <f>'buy100_medium_16'!B26</f>
        <v/>
      </c>
      <c r="J140">
        <f>'buy100_medium_16'!J25</f>
        <v/>
      </c>
      <c r="K140">
        <f>'buy100_medium_16'!B25</f>
        <v/>
      </c>
    </row>
    <row r="141">
      <c r="A141" t="inlineStr">
        <is>
          <t>buy100_medium_8</t>
        </is>
      </c>
      <c r="B141">
        <f>'buy100_medium_8'!$B$3</f>
        <v/>
      </c>
      <c r="C141">
        <f>'buy100_medium_8'!$D$3</f>
        <v/>
      </c>
      <c r="D141">
        <f>'buy100_medium_8'!E17</f>
        <v/>
      </c>
      <c r="E141">
        <f>'buy100_medium_8'!G17</f>
        <v/>
      </c>
      <c r="F141">
        <f>'buy100_medium_8'!D17</f>
        <v/>
      </c>
      <c r="G141">
        <f>'buy100_medium_8'!H17</f>
        <v/>
      </c>
      <c r="H141">
        <f>'buy100_medium_8'!I17</f>
        <v/>
      </c>
      <c r="I141">
        <f>'buy100_medium_8'!B18</f>
        <v/>
      </c>
      <c r="J141">
        <f>'buy100_medium_8'!J17</f>
        <v/>
      </c>
      <c r="K141">
        <f>'buy100_medium_8'!B17</f>
        <v/>
      </c>
    </row>
    <row r="142">
      <c r="A142" t="inlineStr">
        <is>
          <t>buy100_medium_9</t>
        </is>
      </c>
      <c r="B142">
        <f>'buy100_medium_9'!$B$3</f>
        <v/>
      </c>
      <c r="C142">
        <f>'buy100_medium_9'!$D$3</f>
        <v/>
      </c>
      <c r="D142">
        <f>'buy100_medium_9'!E18</f>
        <v/>
      </c>
      <c r="E142">
        <f>'buy100_medium_9'!G18</f>
        <v/>
      </c>
      <c r="F142">
        <f>'buy100_medium_9'!D18</f>
        <v/>
      </c>
      <c r="G142">
        <f>'buy100_medium_9'!H18</f>
        <v/>
      </c>
      <c r="H142">
        <f>'buy100_medium_9'!I18</f>
        <v/>
      </c>
      <c r="I142">
        <f>'buy100_medium_9'!B19</f>
        <v/>
      </c>
      <c r="J142">
        <f>'buy100_medium_9'!J18</f>
        <v/>
      </c>
      <c r="K142">
        <f>'buy100_medium_9'!B18</f>
        <v/>
      </c>
    </row>
    <row r="143">
      <c r="A143" t="inlineStr">
        <is>
          <t>normal_expert_10</t>
        </is>
      </c>
      <c r="B143">
        <f>'normal_expert_10'!$B$3</f>
        <v/>
      </c>
      <c r="C143">
        <f>'normal_expert_10'!$D$3</f>
        <v/>
      </c>
      <c r="D143">
        <f>'normal_expert_10'!E19</f>
        <v/>
      </c>
      <c r="E143">
        <f>'normal_expert_10'!G19</f>
        <v/>
      </c>
      <c r="F143">
        <f>'normal_expert_10'!D19</f>
        <v/>
      </c>
      <c r="G143">
        <f>'normal_expert_10'!H19</f>
        <v/>
      </c>
      <c r="H143">
        <f>'normal_expert_10'!I19</f>
        <v/>
      </c>
      <c r="I143">
        <f>'normal_expert_10'!B20</f>
        <v/>
      </c>
      <c r="J143">
        <f>'normal_expert_10'!J19</f>
        <v/>
      </c>
      <c r="K143">
        <f>'normal_expert_10'!B19</f>
        <v/>
      </c>
    </row>
    <row r="144">
      <c r="A144" t="inlineStr">
        <is>
          <t>normal_expert_11</t>
        </is>
      </c>
      <c r="B144">
        <f>'normal_expert_11'!$B$3</f>
        <v/>
      </c>
      <c r="C144">
        <f>'normal_expert_11'!$D$3</f>
        <v/>
      </c>
      <c r="D144">
        <f>'normal_expert_11'!E20</f>
        <v/>
      </c>
      <c r="E144">
        <f>'normal_expert_11'!G20</f>
        <v/>
      </c>
      <c r="F144">
        <f>'normal_expert_11'!D20</f>
        <v/>
      </c>
      <c r="G144">
        <f>'normal_expert_11'!H20</f>
        <v/>
      </c>
      <c r="H144">
        <f>'normal_expert_11'!I20</f>
        <v/>
      </c>
      <c r="I144">
        <f>'normal_expert_11'!B21</f>
        <v/>
      </c>
      <c r="J144">
        <f>'normal_expert_11'!J20</f>
        <v/>
      </c>
      <c r="K144">
        <f>'normal_expert_11'!B20</f>
        <v/>
      </c>
    </row>
    <row r="145">
      <c r="A145" t="inlineStr">
        <is>
          <t>normal_expert_12</t>
        </is>
      </c>
      <c r="B145">
        <f>'normal_expert_12'!$B$3</f>
        <v/>
      </c>
      <c r="C145">
        <f>'normal_expert_12'!$D$3</f>
        <v/>
      </c>
      <c r="D145">
        <f>'normal_expert_12'!E21</f>
        <v/>
      </c>
      <c r="E145">
        <f>'normal_expert_12'!G21</f>
        <v/>
      </c>
      <c r="F145">
        <f>'normal_expert_12'!D21</f>
        <v/>
      </c>
      <c r="G145">
        <f>'normal_expert_12'!H21</f>
        <v/>
      </c>
      <c r="H145">
        <f>'normal_expert_12'!I21</f>
        <v/>
      </c>
      <c r="I145">
        <f>'normal_expert_12'!B22</f>
        <v/>
      </c>
      <c r="J145">
        <f>'normal_expert_12'!J21</f>
        <v/>
      </c>
      <c r="K145">
        <f>'normal_expert_12'!B21</f>
        <v/>
      </c>
    </row>
    <row r="146">
      <c r="A146" t="inlineStr">
        <is>
          <t>normal_expert_13</t>
        </is>
      </c>
      <c r="B146">
        <f>'normal_expert_13'!$B$3</f>
        <v/>
      </c>
      <c r="C146">
        <f>'normal_expert_13'!$D$3</f>
        <v/>
      </c>
      <c r="D146">
        <f>'normal_expert_13'!E22</f>
        <v/>
      </c>
      <c r="E146">
        <f>'normal_expert_13'!G22</f>
        <v/>
      </c>
      <c r="F146">
        <f>'normal_expert_13'!D22</f>
        <v/>
      </c>
      <c r="G146">
        <f>'normal_expert_13'!H22</f>
        <v/>
      </c>
      <c r="H146">
        <f>'normal_expert_13'!I22</f>
        <v/>
      </c>
      <c r="I146">
        <f>'normal_expert_13'!B23</f>
        <v/>
      </c>
      <c r="J146">
        <f>'normal_expert_13'!J22</f>
        <v/>
      </c>
      <c r="K146">
        <f>'normal_expert_13'!B22</f>
        <v/>
      </c>
    </row>
    <row r="147">
      <c r="A147" t="inlineStr">
        <is>
          <t>normal_expert_14</t>
        </is>
      </c>
      <c r="B147">
        <f>'normal_expert_14'!$B$3</f>
        <v/>
      </c>
      <c r="C147">
        <f>'normal_expert_14'!$D$3</f>
        <v/>
      </c>
      <c r="D147">
        <f>'normal_expert_14'!E23</f>
        <v/>
      </c>
      <c r="E147">
        <f>'normal_expert_14'!G23</f>
        <v/>
      </c>
      <c r="F147">
        <f>'normal_expert_14'!D23</f>
        <v/>
      </c>
      <c r="G147">
        <f>'normal_expert_14'!H23</f>
        <v/>
      </c>
      <c r="H147">
        <f>'normal_expert_14'!I23</f>
        <v/>
      </c>
      <c r="I147">
        <f>'normal_expert_14'!B24</f>
        <v/>
      </c>
      <c r="J147">
        <f>'normal_expert_14'!J23</f>
        <v/>
      </c>
      <c r="K147">
        <f>'normal_expert_14'!B23</f>
        <v/>
      </c>
    </row>
    <row r="148">
      <c r="A148" t="inlineStr">
        <is>
          <t>normal_expert_15</t>
        </is>
      </c>
      <c r="B148">
        <f>'normal_expert_15'!$B$3</f>
        <v/>
      </c>
      <c r="C148">
        <f>'normal_expert_15'!$D$3</f>
        <v/>
      </c>
      <c r="D148">
        <f>'normal_expert_15'!E24</f>
        <v/>
      </c>
      <c r="E148">
        <f>'normal_expert_15'!G24</f>
        <v/>
      </c>
      <c r="F148">
        <f>'normal_expert_15'!D24</f>
        <v/>
      </c>
      <c r="G148">
        <f>'normal_expert_15'!H24</f>
        <v/>
      </c>
      <c r="H148">
        <f>'normal_expert_15'!I24</f>
        <v/>
      </c>
      <c r="I148">
        <f>'normal_expert_15'!B25</f>
        <v/>
      </c>
      <c r="J148">
        <f>'normal_expert_15'!J24</f>
        <v/>
      </c>
      <c r="K148">
        <f>'normal_expert_15'!B24</f>
        <v/>
      </c>
    </row>
    <row r="149">
      <c r="A149" t="inlineStr">
        <is>
          <t>normal_expert_16</t>
        </is>
      </c>
      <c r="B149">
        <f>'normal_expert_16'!$B$3</f>
        <v/>
      </c>
      <c r="C149">
        <f>'normal_expert_16'!$D$3</f>
        <v/>
      </c>
      <c r="D149">
        <f>'normal_expert_16'!E25</f>
        <v/>
      </c>
      <c r="E149">
        <f>'normal_expert_16'!G25</f>
        <v/>
      </c>
      <c r="F149">
        <f>'normal_expert_16'!D25</f>
        <v/>
      </c>
      <c r="G149">
        <f>'normal_expert_16'!H25</f>
        <v/>
      </c>
      <c r="H149">
        <f>'normal_expert_16'!I25</f>
        <v/>
      </c>
      <c r="I149">
        <f>'normal_expert_16'!B26</f>
        <v/>
      </c>
      <c r="J149">
        <f>'normal_expert_16'!J25</f>
        <v/>
      </c>
      <c r="K149">
        <f>'normal_expert_16'!B25</f>
        <v/>
      </c>
    </row>
    <row r="150">
      <c r="A150" t="inlineStr">
        <is>
          <t>normal_expert_8</t>
        </is>
      </c>
      <c r="B150">
        <f>'normal_expert_8'!$B$3</f>
        <v/>
      </c>
      <c r="C150">
        <f>'normal_expert_8'!$D$3</f>
        <v/>
      </c>
      <c r="D150">
        <f>'normal_expert_8'!E17</f>
        <v/>
      </c>
      <c r="E150">
        <f>'normal_expert_8'!G17</f>
        <v/>
      </c>
      <c r="F150">
        <f>'normal_expert_8'!D17</f>
        <v/>
      </c>
      <c r="G150">
        <f>'normal_expert_8'!H17</f>
        <v/>
      </c>
      <c r="H150">
        <f>'normal_expert_8'!I17</f>
        <v/>
      </c>
      <c r="I150">
        <f>'normal_expert_8'!B18</f>
        <v/>
      </c>
      <c r="J150">
        <f>'normal_expert_8'!J17</f>
        <v/>
      </c>
      <c r="K150">
        <f>'normal_expert_8'!B17</f>
        <v/>
      </c>
    </row>
    <row r="151">
      <c r="A151" t="inlineStr">
        <is>
          <t>normal_expert_9</t>
        </is>
      </c>
      <c r="B151">
        <f>'normal_expert_9'!$B$3</f>
        <v/>
      </c>
      <c r="C151">
        <f>'normal_expert_9'!$D$3</f>
        <v/>
      </c>
      <c r="D151">
        <f>'normal_expert_9'!E18</f>
        <v/>
      </c>
      <c r="E151">
        <f>'normal_expert_9'!G18</f>
        <v/>
      </c>
      <c r="F151">
        <f>'normal_expert_9'!D18</f>
        <v/>
      </c>
      <c r="G151">
        <f>'normal_expert_9'!H18</f>
        <v/>
      </c>
      <c r="H151">
        <f>'normal_expert_9'!I18</f>
        <v/>
      </c>
      <c r="I151">
        <f>'normal_expert_9'!B19</f>
        <v/>
      </c>
      <c r="J151">
        <f>'normal_expert_9'!J18</f>
        <v/>
      </c>
      <c r="K151">
        <f>'normal_expert_9'!B18</f>
        <v/>
      </c>
    </row>
    <row r="152">
      <c r="A152" t="inlineStr">
        <is>
          <t>normal_high_10</t>
        </is>
      </c>
      <c r="B152">
        <f>'normal_high_10'!$B$3</f>
        <v/>
      </c>
      <c r="C152">
        <f>'normal_high_10'!$D$3</f>
        <v/>
      </c>
      <c r="D152">
        <f>'normal_high_10'!E19</f>
        <v/>
      </c>
      <c r="E152">
        <f>'normal_high_10'!G19</f>
        <v/>
      </c>
      <c r="F152">
        <f>'normal_high_10'!D19</f>
        <v/>
      </c>
      <c r="G152">
        <f>'normal_high_10'!H19</f>
        <v/>
      </c>
      <c r="H152">
        <f>'normal_high_10'!I19</f>
        <v/>
      </c>
      <c r="I152">
        <f>'normal_high_10'!B20</f>
        <v/>
      </c>
      <c r="J152">
        <f>'normal_high_10'!J19</f>
        <v/>
      </c>
      <c r="K152">
        <f>'normal_high_10'!B19</f>
        <v/>
      </c>
    </row>
    <row r="153">
      <c r="A153" t="inlineStr">
        <is>
          <t>normal_high_11</t>
        </is>
      </c>
      <c r="B153">
        <f>'normal_high_11'!$B$3</f>
        <v/>
      </c>
      <c r="C153">
        <f>'normal_high_11'!$D$3</f>
        <v/>
      </c>
      <c r="D153">
        <f>'normal_high_11'!E20</f>
        <v/>
      </c>
      <c r="E153">
        <f>'normal_high_11'!G20</f>
        <v/>
      </c>
      <c r="F153">
        <f>'normal_high_11'!D20</f>
        <v/>
      </c>
      <c r="G153">
        <f>'normal_high_11'!H20</f>
        <v/>
      </c>
      <c r="H153">
        <f>'normal_high_11'!I20</f>
        <v/>
      </c>
      <c r="I153">
        <f>'normal_high_11'!B21</f>
        <v/>
      </c>
      <c r="J153">
        <f>'normal_high_11'!J20</f>
        <v/>
      </c>
      <c r="K153">
        <f>'normal_high_11'!B20</f>
        <v/>
      </c>
    </row>
    <row r="154">
      <c r="A154" t="inlineStr">
        <is>
          <t>normal_high_12</t>
        </is>
      </c>
      <c r="B154">
        <f>'normal_high_12'!$B$3</f>
        <v/>
      </c>
      <c r="C154">
        <f>'normal_high_12'!$D$3</f>
        <v/>
      </c>
      <c r="D154">
        <f>'normal_high_12'!E21</f>
        <v/>
      </c>
      <c r="E154">
        <f>'normal_high_12'!G21</f>
        <v/>
      </c>
      <c r="F154">
        <f>'normal_high_12'!D21</f>
        <v/>
      </c>
      <c r="G154">
        <f>'normal_high_12'!H21</f>
        <v/>
      </c>
      <c r="H154">
        <f>'normal_high_12'!I21</f>
        <v/>
      </c>
      <c r="I154">
        <f>'normal_high_12'!B22</f>
        <v/>
      </c>
      <c r="J154">
        <f>'normal_high_12'!J21</f>
        <v/>
      </c>
      <c r="K154">
        <f>'normal_high_12'!B21</f>
        <v/>
      </c>
    </row>
    <row r="155">
      <c r="A155" t="inlineStr">
        <is>
          <t>normal_high_13</t>
        </is>
      </c>
      <c r="B155">
        <f>'normal_high_13'!$B$3</f>
        <v/>
      </c>
      <c r="C155">
        <f>'normal_high_13'!$D$3</f>
        <v/>
      </c>
      <c r="D155">
        <f>'normal_high_13'!E22</f>
        <v/>
      </c>
      <c r="E155">
        <f>'normal_high_13'!G22</f>
        <v/>
      </c>
      <c r="F155">
        <f>'normal_high_13'!D22</f>
        <v/>
      </c>
      <c r="G155">
        <f>'normal_high_13'!H22</f>
        <v/>
      </c>
      <c r="H155">
        <f>'normal_high_13'!I22</f>
        <v/>
      </c>
      <c r="I155">
        <f>'normal_high_13'!B23</f>
        <v/>
      </c>
      <c r="J155">
        <f>'normal_high_13'!J22</f>
        <v/>
      </c>
      <c r="K155">
        <f>'normal_high_13'!B22</f>
        <v/>
      </c>
    </row>
    <row r="156">
      <c r="A156" t="inlineStr">
        <is>
          <t>normal_high_14</t>
        </is>
      </c>
      <c r="B156">
        <f>'normal_high_14'!$B$3</f>
        <v/>
      </c>
      <c r="C156">
        <f>'normal_high_14'!$D$3</f>
        <v/>
      </c>
      <c r="D156">
        <f>'normal_high_14'!E23</f>
        <v/>
      </c>
      <c r="E156">
        <f>'normal_high_14'!G23</f>
        <v/>
      </c>
      <c r="F156">
        <f>'normal_high_14'!D23</f>
        <v/>
      </c>
      <c r="G156">
        <f>'normal_high_14'!H23</f>
        <v/>
      </c>
      <c r="H156">
        <f>'normal_high_14'!I23</f>
        <v/>
      </c>
      <c r="I156">
        <f>'normal_high_14'!B24</f>
        <v/>
      </c>
      <c r="J156">
        <f>'normal_high_14'!J23</f>
        <v/>
      </c>
      <c r="K156">
        <f>'normal_high_14'!B23</f>
        <v/>
      </c>
    </row>
    <row r="157">
      <c r="A157" t="inlineStr">
        <is>
          <t>normal_high_15</t>
        </is>
      </c>
      <c r="B157">
        <f>'normal_high_15'!$B$3</f>
        <v/>
      </c>
      <c r="C157">
        <f>'normal_high_15'!$D$3</f>
        <v/>
      </c>
      <c r="D157">
        <f>'normal_high_15'!E24</f>
        <v/>
      </c>
      <c r="E157">
        <f>'normal_high_15'!G24</f>
        <v/>
      </c>
      <c r="F157">
        <f>'normal_high_15'!D24</f>
        <v/>
      </c>
      <c r="G157">
        <f>'normal_high_15'!H24</f>
        <v/>
      </c>
      <c r="H157">
        <f>'normal_high_15'!I24</f>
        <v/>
      </c>
      <c r="I157">
        <f>'normal_high_15'!B25</f>
        <v/>
      </c>
      <c r="J157">
        <f>'normal_high_15'!J24</f>
        <v/>
      </c>
      <c r="K157">
        <f>'normal_high_15'!B24</f>
        <v/>
      </c>
    </row>
    <row r="158">
      <c r="A158" t="inlineStr">
        <is>
          <t>normal_high_16</t>
        </is>
      </c>
      <c r="B158">
        <f>'normal_high_16'!$B$3</f>
        <v/>
      </c>
      <c r="C158">
        <f>'normal_high_16'!$D$3</f>
        <v/>
      </c>
      <c r="D158">
        <f>'normal_high_16'!E25</f>
        <v/>
      </c>
      <c r="E158">
        <f>'normal_high_16'!G25</f>
        <v/>
      </c>
      <c r="F158">
        <f>'normal_high_16'!D25</f>
        <v/>
      </c>
      <c r="G158">
        <f>'normal_high_16'!H25</f>
        <v/>
      </c>
      <c r="H158">
        <f>'normal_high_16'!I25</f>
        <v/>
      </c>
      <c r="I158">
        <f>'normal_high_16'!B26</f>
        <v/>
      </c>
      <c r="J158">
        <f>'normal_high_16'!J25</f>
        <v/>
      </c>
      <c r="K158">
        <f>'normal_high_16'!B25</f>
        <v/>
      </c>
    </row>
    <row r="159">
      <c r="A159" t="inlineStr">
        <is>
          <t>normal_high_8</t>
        </is>
      </c>
      <c r="B159">
        <f>'normal_high_8'!$B$3</f>
        <v/>
      </c>
      <c r="C159">
        <f>'normal_high_8'!$D$3</f>
        <v/>
      </c>
      <c r="D159">
        <f>'normal_high_8'!E17</f>
        <v/>
      </c>
      <c r="E159">
        <f>'normal_high_8'!G17</f>
        <v/>
      </c>
      <c r="F159">
        <f>'normal_high_8'!D17</f>
        <v/>
      </c>
      <c r="G159">
        <f>'normal_high_8'!H17</f>
        <v/>
      </c>
      <c r="H159">
        <f>'normal_high_8'!I17</f>
        <v/>
      </c>
      <c r="I159">
        <f>'normal_high_8'!B18</f>
        <v/>
      </c>
      <c r="J159">
        <f>'normal_high_8'!J17</f>
        <v/>
      </c>
      <c r="K159">
        <f>'normal_high_8'!B17</f>
        <v/>
      </c>
    </row>
    <row r="160">
      <c r="A160" t="inlineStr">
        <is>
          <t>normal_high_9</t>
        </is>
      </c>
      <c r="B160">
        <f>'normal_high_9'!$B$3</f>
        <v/>
      </c>
      <c r="C160">
        <f>'normal_high_9'!$D$3</f>
        <v/>
      </c>
      <c r="D160">
        <f>'normal_high_9'!E18</f>
        <v/>
      </c>
      <c r="E160">
        <f>'normal_high_9'!G18</f>
        <v/>
      </c>
      <c r="F160">
        <f>'normal_high_9'!D18</f>
        <v/>
      </c>
      <c r="G160">
        <f>'normal_high_9'!H18</f>
        <v/>
      </c>
      <c r="H160">
        <f>'normal_high_9'!I18</f>
        <v/>
      </c>
      <c r="I160">
        <f>'normal_high_9'!B19</f>
        <v/>
      </c>
      <c r="J160">
        <f>'normal_high_9'!J18</f>
        <v/>
      </c>
      <c r="K160">
        <f>'normal_high_9'!B18</f>
        <v/>
      </c>
    </row>
    <row r="161">
      <c r="A161" t="inlineStr">
        <is>
          <t>normal_low_10</t>
        </is>
      </c>
      <c r="B161">
        <f>'normal_low_10'!$B$3</f>
        <v/>
      </c>
      <c r="C161">
        <f>'normal_low_10'!$D$3</f>
        <v/>
      </c>
      <c r="D161">
        <f>'normal_low_10'!E19</f>
        <v/>
      </c>
      <c r="E161">
        <f>'normal_low_10'!G19</f>
        <v/>
      </c>
      <c r="F161">
        <f>'normal_low_10'!D19</f>
        <v/>
      </c>
      <c r="G161">
        <f>'normal_low_10'!H19</f>
        <v/>
      </c>
      <c r="H161">
        <f>'normal_low_10'!I19</f>
        <v/>
      </c>
      <c r="I161">
        <f>'normal_low_10'!B20</f>
        <v/>
      </c>
      <c r="J161">
        <f>'normal_low_10'!J19</f>
        <v/>
      </c>
      <c r="K161">
        <f>'normal_low_10'!B19</f>
        <v/>
      </c>
    </row>
    <row r="162">
      <c r="A162" t="inlineStr">
        <is>
          <t>normal_low_11</t>
        </is>
      </c>
      <c r="B162">
        <f>'normal_low_11'!$B$3</f>
        <v/>
      </c>
      <c r="C162">
        <f>'normal_low_11'!$D$3</f>
        <v/>
      </c>
      <c r="D162">
        <f>'normal_low_11'!E20</f>
        <v/>
      </c>
      <c r="E162">
        <f>'normal_low_11'!G20</f>
        <v/>
      </c>
      <c r="F162">
        <f>'normal_low_11'!D20</f>
        <v/>
      </c>
      <c r="G162">
        <f>'normal_low_11'!H20</f>
        <v/>
      </c>
      <c r="H162">
        <f>'normal_low_11'!I20</f>
        <v/>
      </c>
      <c r="I162">
        <f>'normal_low_11'!B21</f>
        <v/>
      </c>
      <c r="J162">
        <f>'normal_low_11'!J20</f>
        <v/>
      </c>
      <c r="K162">
        <f>'normal_low_11'!B20</f>
        <v/>
      </c>
    </row>
    <row r="163">
      <c r="A163" t="inlineStr">
        <is>
          <t>normal_low_12</t>
        </is>
      </c>
      <c r="B163">
        <f>'normal_low_12'!$B$3</f>
        <v/>
      </c>
      <c r="C163">
        <f>'normal_low_12'!$D$3</f>
        <v/>
      </c>
      <c r="D163">
        <f>'normal_low_12'!E21</f>
        <v/>
      </c>
      <c r="E163">
        <f>'normal_low_12'!G21</f>
        <v/>
      </c>
      <c r="F163">
        <f>'normal_low_12'!D21</f>
        <v/>
      </c>
      <c r="G163">
        <f>'normal_low_12'!H21</f>
        <v/>
      </c>
      <c r="H163">
        <f>'normal_low_12'!I21</f>
        <v/>
      </c>
      <c r="I163">
        <f>'normal_low_12'!B22</f>
        <v/>
      </c>
      <c r="J163">
        <f>'normal_low_12'!J21</f>
        <v/>
      </c>
      <c r="K163">
        <f>'normal_low_12'!B21</f>
        <v/>
      </c>
    </row>
    <row r="164">
      <c r="A164" t="inlineStr">
        <is>
          <t>normal_low_13</t>
        </is>
      </c>
      <c r="B164">
        <f>'normal_low_13'!$B$3</f>
        <v/>
      </c>
      <c r="C164">
        <f>'normal_low_13'!$D$3</f>
        <v/>
      </c>
      <c r="D164">
        <f>'normal_low_13'!E22</f>
        <v/>
      </c>
      <c r="E164">
        <f>'normal_low_13'!G22</f>
        <v/>
      </c>
      <c r="F164">
        <f>'normal_low_13'!D22</f>
        <v/>
      </c>
      <c r="G164">
        <f>'normal_low_13'!H22</f>
        <v/>
      </c>
      <c r="H164">
        <f>'normal_low_13'!I22</f>
        <v/>
      </c>
      <c r="I164">
        <f>'normal_low_13'!B23</f>
        <v/>
      </c>
      <c r="J164">
        <f>'normal_low_13'!J22</f>
        <v/>
      </c>
      <c r="K164">
        <f>'normal_low_13'!B22</f>
        <v/>
      </c>
    </row>
    <row r="165">
      <c r="A165" t="inlineStr">
        <is>
          <t>normal_low_14</t>
        </is>
      </c>
      <c r="B165">
        <f>'normal_low_14'!$B$3</f>
        <v/>
      </c>
      <c r="C165">
        <f>'normal_low_14'!$D$3</f>
        <v/>
      </c>
      <c r="D165">
        <f>'normal_low_14'!E23</f>
        <v/>
      </c>
      <c r="E165">
        <f>'normal_low_14'!G23</f>
        <v/>
      </c>
      <c r="F165">
        <f>'normal_low_14'!D23</f>
        <v/>
      </c>
      <c r="G165">
        <f>'normal_low_14'!H23</f>
        <v/>
      </c>
      <c r="H165">
        <f>'normal_low_14'!I23</f>
        <v/>
      </c>
      <c r="I165">
        <f>'normal_low_14'!B24</f>
        <v/>
      </c>
      <c r="J165">
        <f>'normal_low_14'!J23</f>
        <v/>
      </c>
      <c r="K165">
        <f>'normal_low_14'!B23</f>
        <v/>
      </c>
    </row>
    <row r="166">
      <c r="A166" t="inlineStr">
        <is>
          <t>normal_low_15</t>
        </is>
      </c>
      <c r="B166">
        <f>'normal_low_15'!$B$3</f>
        <v/>
      </c>
      <c r="C166">
        <f>'normal_low_15'!$D$3</f>
        <v/>
      </c>
      <c r="D166">
        <f>'normal_low_15'!E24</f>
        <v/>
      </c>
      <c r="E166">
        <f>'normal_low_15'!G24</f>
        <v/>
      </c>
      <c r="F166">
        <f>'normal_low_15'!D24</f>
        <v/>
      </c>
      <c r="G166">
        <f>'normal_low_15'!H24</f>
        <v/>
      </c>
      <c r="H166">
        <f>'normal_low_15'!I24</f>
        <v/>
      </c>
      <c r="I166">
        <f>'normal_low_15'!B25</f>
        <v/>
      </c>
      <c r="J166">
        <f>'normal_low_15'!J24</f>
        <v/>
      </c>
      <c r="K166">
        <f>'normal_low_15'!B24</f>
        <v/>
      </c>
    </row>
    <row r="167">
      <c r="A167" t="inlineStr">
        <is>
          <t>normal_low_16</t>
        </is>
      </c>
      <c r="B167">
        <f>'normal_low_16'!$B$3</f>
        <v/>
      </c>
      <c r="C167">
        <f>'normal_low_16'!$D$3</f>
        <v/>
      </c>
      <c r="D167">
        <f>'normal_low_16'!E25</f>
        <v/>
      </c>
      <c r="E167">
        <f>'normal_low_16'!G25</f>
        <v/>
      </c>
      <c r="F167">
        <f>'normal_low_16'!D25</f>
        <v/>
      </c>
      <c r="G167">
        <f>'normal_low_16'!H25</f>
        <v/>
      </c>
      <c r="H167">
        <f>'normal_low_16'!I25</f>
        <v/>
      </c>
      <c r="I167">
        <f>'normal_low_16'!B26</f>
        <v/>
      </c>
      <c r="J167">
        <f>'normal_low_16'!J25</f>
        <v/>
      </c>
      <c r="K167">
        <f>'normal_low_16'!B25</f>
        <v/>
      </c>
    </row>
    <row r="168">
      <c r="A168" t="inlineStr">
        <is>
          <t>normal_low_8</t>
        </is>
      </c>
      <c r="B168">
        <f>'normal_low_8'!$B$3</f>
        <v/>
      </c>
      <c r="C168">
        <f>'normal_low_8'!$D$3</f>
        <v/>
      </c>
      <c r="D168">
        <f>'normal_low_8'!E17</f>
        <v/>
      </c>
      <c r="E168">
        <f>'normal_low_8'!G17</f>
        <v/>
      </c>
      <c r="F168">
        <f>'normal_low_8'!D17</f>
        <v/>
      </c>
      <c r="G168">
        <f>'normal_low_8'!H17</f>
        <v/>
      </c>
      <c r="H168">
        <f>'normal_low_8'!I17</f>
        <v/>
      </c>
      <c r="I168">
        <f>'normal_low_8'!B18</f>
        <v/>
      </c>
      <c r="J168">
        <f>'normal_low_8'!J17</f>
        <v/>
      </c>
      <c r="K168">
        <f>'normal_low_8'!B17</f>
        <v/>
      </c>
    </row>
    <row r="169">
      <c r="A169" t="inlineStr">
        <is>
          <t>normal_low_9</t>
        </is>
      </c>
      <c r="B169">
        <f>'normal_low_9'!$B$3</f>
        <v/>
      </c>
      <c r="C169">
        <f>'normal_low_9'!$D$3</f>
        <v/>
      </c>
      <c r="D169">
        <f>'normal_low_9'!E18</f>
        <v/>
      </c>
      <c r="E169">
        <f>'normal_low_9'!G18</f>
        <v/>
      </c>
      <c r="F169">
        <f>'normal_low_9'!D18</f>
        <v/>
      </c>
      <c r="G169">
        <f>'normal_low_9'!H18</f>
        <v/>
      </c>
      <c r="H169">
        <f>'normal_low_9'!I18</f>
        <v/>
      </c>
      <c r="I169">
        <f>'normal_low_9'!B19</f>
        <v/>
      </c>
      <c r="J169">
        <f>'normal_low_9'!J18</f>
        <v/>
      </c>
      <c r="K169">
        <f>'normal_low_9'!B18</f>
        <v/>
      </c>
    </row>
    <row r="170">
      <c r="A170" t="inlineStr">
        <is>
          <t>normal_medium_10</t>
        </is>
      </c>
      <c r="B170">
        <f>'normal_medium_10'!$B$3</f>
        <v/>
      </c>
      <c r="C170">
        <f>'normal_medium_10'!$D$3</f>
        <v/>
      </c>
      <c r="D170">
        <f>'normal_medium_10'!E19</f>
        <v/>
      </c>
      <c r="E170">
        <f>'normal_medium_10'!G19</f>
        <v/>
      </c>
      <c r="F170">
        <f>'normal_medium_10'!D19</f>
        <v/>
      </c>
      <c r="G170">
        <f>'normal_medium_10'!H19</f>
        <v/>
      </c>
      <c r="H170">
        <f>'normal_medium_10'!I19</f>
        <v/>
      </c>
      <c r="I170">
        <f>'normal_medium_10'!B20</f>
        <v/>
      </c>
      <c r="J170">
        <f>'normal_medium_10'!J19</f>
        <v/>
      </c>
      <c r="K170">
        <f>'normal_medium_10'!B19</f>
        <v/>
      </c>
    </row>
    <row r="171">
      <c r="A171" t="inlineStr">
        <is>
          <t>normal_medium_11</t>
        </is>
      </c>
      <c r="B171">
        <f>'normal_medium_11'!$B$3</f>
        <v/>
      </c>
      <c r="C171">
        <f>'normal_medium_11'!$D$3</f>
        <v/>
      </c>
      <c r="D171">
        <f>'normal_medium_11'!E20</f>
        <v/>
      </c>
      <c r="E171">
        <f>'normal_medium_11'!G20</f>
        <v/>
      </c>
      <c r="F171">
        <f>'normal_medium_11'!D20</f>
        <v/>
      </c>
      <c r="G171">
        <f>'normal_medium_11'!H20</f>
        <v/>
      </c>
      <c r="H171">
        <f>'normal_medium_11'!I20</f>
        <v/>
      </c>
      <c r="I171">
        <f>'normal_medium_11'!B21</f>
        <v/>
      </c>
      <c r="J171">
        <f>'normal_medium_11'!J20</f>
        <v/>
      </c>
      <c r="K171">
        <f>'normal_medium_11'!B20</f>
        <v/>
      </c>
    </row>
    <row r="172">
      <c r="A172" t="inlineStr">
        <is>
          <t>normal_medium_12</t>
        </is>
      </c>
      <c r="B172">
        <f>'normal_medium_12'!$B$3</f>
        <v/>
      </c>
      <c r="C172">
        <f>'normal_medium_12'!$D$3</f>
        <v/>
      </c>
      <c r="D172">
        <f>'normal_medium_12'!E21</f>
        <v/>
      </c>
      <c r="E172">
        <f>'normal_medium_12'!G21</f>
        <v/>
      </c>
      <c r="F172">
        <f>'normal_medium_12'!D21</f>
        <v/>
      </c>
      <c r="G172">
        <f>'normal_medium_12'!H21</f>
        <v/>
      </c>
      <c r="H172">
        <f>'normal_medium_12'!I21</f>
        <v/>
      </c>
      <c r="I172">
        <f>'normal_medium_12'!B22</f>
        <v/>
      </c>
      <c r="J172">
        <f>'normal_medium_12'!J21</f>
        <v/>
      </c>
      <c r="K172">
        <f>'normal_medium_12'!B21</f>
        <v/>
      </c>
    </row>
    <row r="173">
      <c r="A173" t="inlineStr">
        <is>
          <t>normal_medium_13</t>
        </is>
      </c>
      <c r="B173">
        <f>'normal_medium_13'!$B$3</f>
        <v/>
      </c>
      <c r="C173">
        <f>'normal_medium_13'!$D$3</f>
        <v/>
      </c>
      <c r="D173">
        <f>'normal_medium_13'!E22</f>
        <v/>
      </c>
      <c r="E173">
        <f>'normal_medium_13'!G22</f>
        <v/>
      </c>
      <c r="F173">
        <f>'normal_medium_13'!D22</f>
        <v/>
      </c>
      <c r="G173">
        <f>'normal_medium_13'!H22</f>
        <v/>
      </c>
      <c r="H173">
        <f>'normal_medium_13'!I22</f>
        <v/>
      </c>
      <c r="I173">
        <f>'normal_medium_13'!B23</f>
        <v/>
      </c>
      <c r="J173">
        <f>'normal_medium_13'!J22</f>
        <v/>
      </c>
      <c r="K173">
        <f>'normal_medium_13'!B22</f>
        <v/>
      </c>
    </row>
    <row r="174">
      <c r="A174" t="inlineStr">
        <is>
          <t>normal_medium_14</t>
        </is>
      </c>
      <c r="B174">
        <f>'normal_medium_14'!$B$3</f>
        <v/>
      </c>
      <c r="C174">
        <f>'normal_medium_14'!$D$3</f>
        <v/>
      </c>
      <c r="D174">
        <f>'normal_medium_14'!E23</f>
        <v/>
      </c>
      <c r="E174">
        <f>'normal_medium_14'!G23</f>
        <v/>
      </c>
      <c r="F174">
        <f>'normal_medium_14'!D23</f>
        <v/>
      </c>
      <c r="G174">
        <f>'normal_medium_14'!H23</f>
        <v/>
      </c>
      <c r="H174">
        <f>'normal_medium_14'!I23</f>
        <v/>
      </c>
      <c r="I174">
        <f>'normal_medium_14'!B24</f>
        <v/>
      </c>
      <c r="J174">
        <f>'normal_medium_14'!J23</f>
        <v/>
      </c>
      <c r="K174">
        <f>'normal_medium_14'!B23</f>
        <v/>
      </c>
    </row>
    <row r="175">
      <c r="A175" t="inlineStr">
        <is>
          <t>normal_medium_15</t>
        </is>
      </c>
      <c r="B175">
        <f>'normal_medium_15'!$B$3</f>
        <v/>
      </c>
      <c r="C175">
        <f>'normal_medium_15'!$D$3</f>
        <v/>
      </c>
      <c r="D175">
        <f>'normal_medium_15'!E24</f>
        <v/>
      </c>
      <c r="E175">
        <f>'normal_medium_15'!G24</f>
        <v/>
      </c>
      <c r="F175">
        <f>'normal_medium_15'!D24</f>
        <v/>
      </c>
      <c r="G175">
        <f>'normal_medium_15'!H24</f>
        <v/>
      </c>
      <c r="H175">
        <f>'normal_medium_15'!I24</f>
        <v/>
      </c>
      <c r="I175">
        <f>'normal_medium_15'!B25</f>
        <v/>
      </c>
      <c r="J175">
        <f>'normal_medium_15'!J24</f>
        <v/>
      </c>
      <c r="K175">
        <f>'normal_medium_15'!B24</f>
        <v/>
      </c>
    </row>
    <row r="176">
      <c r="A176" t="inlineStr">
        <is>
          <t>normal_medium_16</t>
        </is>
      </c>
      <c r="B176">
        <f>'normal_medium_16'!$B$3</f>
        <v/>
      </c>
      <c r="C176">
        <f>'normal_medium_16'!$D$3</f>
        <v/>
      </c>
      <c r="D176">
        <f>'normal_medium_16'!E25</f>
        <v/>
      </c>
      <c r="E176">
        <f>'normal_medium_16'!G25</f>
        <v/>
      </c>
      <c r="F176">
        <f>'normal_medium_16'!D25</f>
        <v/>
      </c>
      <c r="G176">
        <f>'normal_medium_16'!H25</f>
        <v/>
      </c>
      <c r="H176">
        <f>'normal_medium_16'!I25</f>
        <v/>
      </c>
      <c r="I176">
        <f>'normal_medium_16'!B26</f>
        <v/>
      </c>
      <c r="J176">
        <f>'normal_medium_16'!J25</f>
        <v/>
      </c>
      <c r="K176">
        <f>'normal_medium_16'!B25</f>
        <v/>
      </c>
    </row>
    <row r="177">
      <c r="A177" t="inlineStr">
        <is>
          <t>normal_medium_8</t>
        </is>
      </c>
      <c r="B177">
        <f>'normal_medium_8'!$B$3</f>
        <v/>
      </c>
      <c r="C177">
        <f>'normal_medium_8'!$D$3</f>
        <v/>
      </c>
      <c r="D177">
        <f>'normal_medium_8'!E17</f>
        <v/>
      </c>
      <c r="E177">
        <f>'normal_medium_8'!G17</f>
        <v/>
      </c>
      <c r="F177">
        <f>'normal_medium_8'!D17</f>
        <v/>
      </c>
      <c r="G177">
        <f>'normal_medium_8'!H17</f>
        <v/>
      </c>
      <c r="H177">
        <f>'normal_medium_8'!I17</f>
        <v/>
      </c>
      <c r="I177">
        <f>'normal_medium_8'!B18</f>
        <v/>
      </c>
      <c r="J177">
        <f>'normal_medium_8'!J17</f>
        <v/>
      </c>
      <c r="K177">
        <f>'normal_medium_8'!B17</f>
        <v/>
      </c>
    </row>
    <row r="178">
      <c r="A178" t="inlineStr">
        <is>
          <t>normal_medium_9</t>
        </is>
      </c>
      <c r="B178">
        <f>'normal_medium_9'!$B$3</f>
        <v/>
      </c>
      <c r="C178">
        <f>'normal_medium_9'!$D$3</f>
        <v/>
      </c>
      <c r="D178">
        <f>'normal_medium_9'!E18</f>
        <v/>
      </c>
      <c r="E178">
        <f>'normal_medium_9'!G18</f>
        <v/>
      </c>
      <c r="F178">
        <f>'normal_medium_9'!D18</f>
        <v/>
      </c>
      <c r="G178">
        <f>'normal_medium_9'!H18</f>
        <v/>
      </c>
      <c r="H178">
        <f>'normal_medium_9'!I18</f>
        <v/>
      </c>
      <c r="I178">
        <f>'normal_medium_9'!B19</f>
        <v/>
      </c>
      <c r="J178">
        <f>'normal_medium_9'!J18</f>
        <v/>
      </c>
      <c r="K178">
        <f>'normal_medium_9'!B18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buy100_expert_10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10</v>
      </c>
      <c r="K3" t="inlineStr">
        <is>
          <t>p_right</t>
        </is>
      </c>
      <c r="L3" t="n">
        <v>0.49353346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1110472</v>
      </c>
      <c r="C7" t="n">
        <v>0</v>
      </c>
      <c r="D7">
        <f>C7/$H$3</f>
        <v/>
      </c>
      <c r="E7">
        <f>IF($J$3="",IF($B$19&gt;0,B7/$B$19,0),COMBIN($J$3,A7)*$L$3^A7*(1-$L$3)^($J$3-A7))</f>
        <v/>
      </c>
      <c r="F7">
        <f>IF($B$19&gt;0,B7/$B$19,0)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10821151</v>
      </c>
      <c r="C8" t="n">
        <v>0</v>
      </c>
      <c r="D8">
        <f>C8/$H$3</f>
        <v/>
      </c>
      <c r="E8">
        <f>IF($J$3="",IF($B$19&gt;0,B8/$B$19,0),COMBIN($J$3,A8)*$L$3^A8*(1-$L$3)^($J$3-A8))</f>
        <v/>
      </c>
      <c r="F8">
        <f>IF($B$19&gt;0,B8/$B$19,0)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47451703</v>
      </c>
      <c r="C9" t="n">
        <v>0</v>
      </c>
      <c r="D9">
        <f>C9/$H$3</f>
        <v/>
      </c>
      <c r="E9">
        <f>IF($J$3="",IF($B$19&gt;0,B9/$B$19,0),COMBIN($J$3,A9)*$L$3^A9*(1-$L$3)^($J$3-A9))</f>
        <v/>
      </c>
      <c r="F9">
        <f>IF($B$19&gt;0,B9/$B$19,0)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123306614</v>
      </c>
      <c r="C10" t="n">
        <v>0</v>
      </c>
      <c r="D10">
        <f>C10/$H$3</f>
        <v/>
      </c>
      <c r="E10">
        <f>IF($J$3="",IF($B$19&gt;0,B10/$B$19,0),COMBIN($J$3,A10)*$L$3^A10*(1-$L$3)^($J$3-A10))</f>
        <v/>
      </c>
      <c r="F10">
        <f>IF($B$19&gt;0,B10/$B$19,0)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210276267</v>
      </c>
      <c r="C11" t="n">
        <v>0</v>
      </c>
      <c r="D11">
        <f>C11/$H$3</f>
        <v/>
      </c>
      <c r="E11">
        <f>IF($J$3="",IF($B$19&gt;0,B11/$B$19,0),COMBIN($J$3,A11)*$L$3^A11*(1-$L$3)^($J$3-A11))</f>
        <v/>
      </c>
      <c r="F11">
        <f>IF($B$19&gt;0,B11/$B$19,0)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245888005</v>
      </c>
      <c r="C12" t="n">
        <v>0</v>
      </c>
      <c r="D12">
        <f>C12/$H$3</f>
        <v/>
      </c>
      <c r="E12">
        <f>IF($J$3="",IF($B$19&gt;0,B12/$B$19,0),COMBIN($J$3,A12)*$L$3^A12*(1-$L$3)^($J$3-A12))</f>
        <v/>
      </c>
      <c r="F12">
        <f>IF($B$19&gt;0,B12/$B$19,0)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199674192</v>
      </c>
      <c r="C13" t="n">
        <v>0</v>
      </c>
      <c r="D13">
        <f>C13/$H$3</f>
        <v/>
      </c>
      <c r="E13">
        <f>IF($J$3="",IF($B$19&gt;0,B13/$B$19,0),COMBIN($J$3,A13)*$L$3^A13*(1-$L$3)^($J$3-A13))</f>
        <v/>
      </c>
      <c r="F13">
        <f>IF($B$19&gt;0,B13/$B$19,0)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111185902</v>
      </c>
      <c r="C14" t="n">
        <v>10</v>
      </c>
      <c r="D14">
        <f>C14/$H$3</f>
        <v/>
      </c>
      <c r="E14">
        <f>IF($J$3="",IF($B$19&gt;0,B14/$B$19,0),COMBIN($J$3,A14)*$L$3^A14*(1-$L$3)^($J$3-A14))</f>
        <v/>
      </c>
      <c r="F14">
        <f>IF($B$19&gt;0,B14/$B$19,0)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40630001</v>
      </c>
      <c r="C15" t="n">
        <v>1029</v>
      </c>
      <c r="D15">
        <f>C15/$H$3</f>
        <v/>
      </c>
      <c r="E15">
        <f>IF($J$3="",IF($B$19&gt;0,B15/$B$19,0),COMBIN($J$3,A15)*$L$3^A15*(1-$L$3)^($J$3-A15))</f>
        <v/>
      </c>
      <c r="F15">
        <f>IF($B$19&gt;0,B15/$B$19,0)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8798328</v>
      </c>
      <c r="C16" t="n">
        <v>101420</v>
      </c>
      <c r="D16">
        <f>C16/$H$3</f>
        <v/>
      </c>
      <c r="E16">
        <f>IF($J$3="",IF($B$19&gt;0,B16/$B$19,0),COMBIN($J$3,A16)*$L$3^A16*(1-$L$3)^($J$3-A16))</f>
        <v/>
      </c>
      <c r="F16">
        <f>IF($B$19&gt;0,B16/$B$19,0)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857370</v>
      </c>
      <c r="C17" t="n">
        <v>10000000</v>
      </c>
      <c r="D17">
        <f>C17/$H$3</f>
        <v/>
      </c>
      <c r="E17">
        <f>IF($J$3="",IF($B$19&gt;0,B17/$B$19,0),COMBIN($J$3,A17)*$L$3^A17*(1-$L$3)^($J$3-A17))</f>
        <v/>
      </c>
      <c r="F17">
        <f>IF($B$19&gt;0,B17/$B$19,0)</f>
        <v/>
      </c>
      <c r="G17">
        <f>E17-F17</f>
        <v/>
      </c>
      <c r="H17">
        <f>D17*E17</f>
        <v/>
      </c>
      <c r="I17">
        <f>I16+E17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MAX(ABS(G7:G17))</f>
        <v/>
      </c>
      <c r="H19">
        <f>SUM(H7:H17)</f>
        <v/>
      </c>
      <c r="I19">
        <f>IF($B$3&gt;0,H19/$B$3,0)</f>
        <v/>
      </c>
      <c r="J19">
        <f>IF($D$3="","N/A",ABS(I19-$D$3)&lt;=$F$3)</f>
        <v/>
      </c>
    </row>
    <row r="20">
      <c r="A20" t="inlineStr">
        <is>
          <t>rtp_drift</t>
        </is>
      </c>
      <c r="B20">
        <f>IF($D$3="","",I19-$D$3)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buy100_expert_11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11</v>
      </c>
      <c r="K3" t="inlineStr">
        <is>
          <t>p_right</t>
        </is>
      </c>
      <c r="L3" t="n">
        <v>0.5262539899999999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269775</v>
      </c>
      <c r="C7" t="n">
        <v>0</v>
      </c>
      <c r="D7">
        <f>C7/$H$3</f>
        <v/>
      </c>
      <c r="E7">
        <f>IF($J$3="",IF($B$20&gt;0,B7/$B$20,0),COMBIN($J$3,A7)*$L$3^A7*(1-$L$3)^($J$3-A7))</f>
        <v/>
      </c>
      <c r="F7">
        <f>IF($B$20&gt;0,B7/$B$20,0)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3296429</v>
      </c>
      <c r="C8" t="n">
        <v>0</v>
      </c>
      <c r="D8">
        <f>C8/$H$3</f>
        <v/>
      </c>
      <c r="E8">
        <f>IF($J$3="",IF($B$20&gt;0,B8/$B$20,0),COMBIN($J$3,A8)*$L$3^A8*(1-$L$3)^($J$3-A8))</f>
        <v/>
      </c>
      <c r="F8">
        <f>IF($B$20&gt;0,B8/$B$20,0)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18308955</v>
      </c>
      <c r="C9" t="n">
        <v>0</v>
      </c>
      <c r="D9">
        <f>C9/$H$3</f>
        <v/>
      </c>
      <c r="E9">
        <f>IF($J$3="",IF($B$20&gt;0,B9/$B$20,0),COMBIN($J$3,A9)*$L$3^A9*(1-$L$3)^($J$3-A9))</f>
        <v/>
      </c>
      <c r="F9">
        <f>IF($B$20&gt;0,B9/$B$20,0)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61014725</v>
      </c>
      <c r="C10" t="n">
        <v>0</v>
      </c>
      <c r="D10">
        <f>C10/$H$3</f>
        <v/>
      </c>
      <c r="E10">
        <f>IF($J$3="",IF($B$20&gt;0,B10/$B$20,0),COMBIN($J$3,A10)*$L$3^A10*(1-$L$3)^($J$3-A10))</f>
        <v/>
      </c>
      <c r="F10">
        <f>IF($B$20&gt;0,B10/$B$20,0)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135554673</v>
      </c>
      <c r="C11" t="n">
        <v>0</v>
      </c>
      <c r="D11">
        <f>C11/$H$3</f>
        <v/>
      </c>
      <c r="E11">
        <f>IF($J$3="",IF($B$20&gt;0,B11/$B$20,0),COMBIN($J$3,A11)*$L$3^A11*(1-$L$3)^($J$3-A11))</f>
        <v/>
      </c>
      <c r="F11">
        <f>IF($B$20&gt;0,B11/$B$20,0)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210810565</v>
      </c>
      <c r="C12" t="n">
        <v>0</v>
      </c>
      <c r="D12">
        <f>C12/$H$3</f>
        <v/>
      </c>
      <c r="E12">
        <f>IF($J$3="",IF($B$20&gt;0,B12/$B$20,0),COMBIN($J$3,A12)*$L$3^A12*(1-$L$3)^($J$3-A12))</f>
        <v/>
      </c>
      <c r="F12">
        <f>IF($B$20&gt;0,B12/$B$20,0)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234175908</v>
      </c>
      <c r="C13" t="n">
        <v>0</v>
      </c>
      <c r="D13">
        <f>C13/$H$3</f>
        <v/>
      </c>
      <c r="E13">
        <f>IF($J$3="",IF($B$20&gt;0,B13/$B$20,0),COMBIN($J$3,A13)*$L$3^A13*(1-$L$3)^($J$3-A13))</f>
        <v/>
      </c>
      <c r="F13">
        <f>IF($B$20&gt;0,B13/$B$20,0)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185807833</v>
      </c>
      <c r="C14" t="n">
        <v>0</v>
      </c>
      <c r="D14">
        <f>C14/$H$3</f>
        <v/>
      </c>
      <c r="E14">
        <f>IF($J$3="",IF($B$20&gt;0,B14/$B$20,0),COMBIN($J$3,A14)*$L$3^A14*(1-$L$3)^($J$3-A14))</f>
        <v/>
      </c>
      <c r="F14">
        <f>IF($B$20&gt;0,B14/$B$20,0)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103200990</v>
      </c>
      <c r="C15" t="n">
        <v>12</v>
      </c>
      <c r="D15">
        <f>C15/$H$3</f>
        <v/>
      </c>
      <c r="E15">
        <f>IF($J$3="",IF($B$20&gt;0,B15/$B$20,0),COMBIN($J$3,A15)*$L$3^A15*(1-$L$3)^($J$3-A15))</f>
        <v/>
      </c>
      <c r="F15">
        <f>IF($B$20&gt;0,B15/$B$20,0)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38213116</v>
      </c>
      <c r="C16" t="n">
        <v>1104</v>
      </c>
      <c r="D16">
        <f>C16/$H$3</f>
        <v/>
      </c>
      <c r="E16">
        <f>IF($J$3="",IF($B$20&gt;0,B16/$B$20,0),COMBIN($J$3,A16)*$L$3^A16*(1-$L$3)^($J$3-A16))</f>
        <v/>
      </c>
      <c r="F16">
        <f>IF($B$20&gt;0,B16/$B$20,0)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8489699</v>
      </c>
      <c r="C17" t="n">
        <v>105092</v>
      </c>
      <c r="D17">
        <f>C17/$H$3</f>
        <v/>
      </c>
      <c r="E17">
        <f>IF($J$3="",IF($B$20&gt;0,B17/$B$20,0),COMBIN($J$3,A17)*$L$3^A17*(1-$L$3)^($J$3-A17))</f>
        <v/>
      </c>
      <c r="F17">
        <f>IF($B$20&gt;0,B17/$B$20,0)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857332</v>
      </c>
      <c r="C18" t="n">
        <v>10000000</v>
      </c>
      <c r="D18">
        <f>C18/$H$3</f>
        <v/>
      </c>
      <c r="E18">
        <f>IF($J$3="",IF($B$20&gt;0,B18/$B$20,0),COMBIN($J$3,A18)*$L$3^A18*(1-$L$3)^($J$3-A18))</f>
        <v/>
      </c>
      <c r="F18">
        <f>IF($B$20&gt;0,B18/$B$20,0)</f>
        <v/>
      </c>
      <c r="G18">
        <f>E18-F18</f>
        <v/>
      </c>
      <c r="H18">
        <f>D18*E18</f>
        <v/>
      </c>
      <c r="I18">
        <f>I17+E18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MAX(ABS(G7:G18))</f>
        <v/>
      </c>
      <c r="H20">
        <f>SUM(H7:H18)</f>
        <v/>
      </c>
      <c r="I20">
        <f>IF($B$3&gt;0,H20/$B$3,0)</f>
        <v/>
      </c>
      <c r="J20">
        <f>IF($D$3="","N/A",ABS(I20-$D$3)&lt;=$F$3)</f>
        <v/>
      </c>
    </row>
    <row r="21">
      <c r="A21" t="inlineStr">
        <is>
          <t>rtp_drift</t>
        </is>
      </c>
      <c r="B21">
        <f>IF($D$3="","",I20-$D$3)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buy100_expert_12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12</v>
      </c>
      <c r="K3" t="inlineStr">
        <is>
          <t>p_right</t>
        </is>
      </c>
      <c r="L3" t="n">
        <v>0.5551725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60020</v>
      </c>
      <c r="C7" t="n">
        <v>0</v>
      </c>
      <c r="D7">
        <f>C7/$H$3</f>
        <v/>
      </c>
      <c r="E7">
        <f>IF($J$3="",IF($B$21&gt;0,B7/$B$21,0),COMBIN($J$3,A7)*$L$3^A7*(1-$L$3)^($J$3-A7))</f>
        <v/>
      </c>
      <c r="F7">
        <f>IF($B$21&gt;0,B7/$B$21,0)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898912</v>
      </c>
      <c r="C8" t="n">
        <v>0</v>
      </c>
      <c r="D8">
        <f>C8/$H$3</f>
        <v/>
      </c>
      <c r="E8">
        <f>IF($J$3="",IF($B$21&gt;0,B8/$B$21,0),COMBIN($J$3,A8)*$L$3^A8*(1-$L$3)^($J$3-A8))</f>
        <v/>
      </c>
      <c r="F8">
        <f>IF($B$21&gt;0,B8/$B$21,0)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6170440</v>
      </c>
      <c r="C9" t="n">
        <v>0</v>
      </c>
      <c r="D9">
        <f>C9/$H$3</f>
        <v/>
      </c>
      <c r="E9">
        <f>IF($J$3="",IF($B$21&gt;0,B9/$B$21,0),COMBIN($J$3,A9)*$L$3^A9*(1-$L$3)^($J$3-A9))</f>
        <v/>
      </c>
      <c r="F9">
        <f>IF($B$21&gt;0,B9/$B$21,0)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25670315</v>
      </c>
      <c r="C10" t="n">
        <v>0</v>
      </c>
      <c r="D10">
        <f>C10/$H$3</f>
        <v/>
      </c>
      <c r="E10">
        <f>IF($J$3="",IF($B$21&gt;0,B10/$B$21,0),COMBIN($J$3,A10)*$L$3^A10*(1-$L$3)^($J$3-A10))</f>
        <v/>
      </c>
      <c r="F10">
        <f>IF($B$21&gt;0,B10/$B$21,0)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72085850</v>
      </c>
      <c r="C11" t="n">
        <v>0</v>
      </c>
      <c r="D11">
        <f>C11/$H$3</f>
        <v/>
      </c>
      <c r="E11">
        <f>IF($J$3="",IF($B$21&gt;0,B11/$B$21,0),COMBIN($J$3,A11)*$L$3^A11*(1-$L$3)^($J$3-A11))</f>
        <v/>
      </c>
      <c r="F11">
        <f>IF($B$21&gt;0,B11/$B$21,0)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143948226</v>
      </c>
      <c r="C12" t="n">
        <v>0</v>
      </c>
      <c r="D12">
        <f>C12/$H$3</f>
        <v/>
      </c>
      <c r="E12">
        <f>IF($J$3="",IF($B$21&gt;0,B12/$B$21,0),COMBIN($J$3,A12)*$L$3^A12*(1-$L$3)^($J$3-A12))</f>
        <v/>
      </c>
      <c r="F12">
        <f>IF($B$21&gt;0,B12/$B$21,0)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209599102</v>
      </c>
      <c r="C13" t="n">
        <v>0</v>
      </c>
      <c r="D13">
        <f>C13/$H$3</f>
        <v/>
      </c>
      <c r="E13">
        <f>IF($J$3="",IF($B$21&gt;0,B13/$B$21,0),COMBIN($J$3,A13)*$L$3^A13*(1-$L$3)^($J$3-A13))</f>
        <v/>
      </c>
      <c r="F13">
        <f>IF($B$21&gt;0,B13/$B$21,0)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224222370</v>
      </c>
      <c r="C14" t="n">
        <v>0</v>
      </c>
      <c r="D14">
        <f>C14/$H$3</f>
        <v/>
      </c>
      <c r="E14">
        <f>IF($J$3="",IF($B$21&gt;0,B14/$B$21,0),COMBIN($J$3,A14)*$L$3^A14*(1-$L$3)^($J$3-A14))</f>
        <v/>
      </c>
      <c r="F14">
        <f>IF($B$21&gt;0,B14/$B$21,0)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174902198</v>
      </c>
      <c r="C15" t="n">
        <v>0</v>
      </c>
      <c r="D15">
        <f>C15/$H$3</f>
        <v/>
      </c>
      <c r="E15">
        <f>IF($J$3="",IF($B$21&gt;0,B15/$B$21,0),COMBIN($J$3,A15)*$L$3^A15*(1-$L$3)^($J$3-A15))</f>
        <v/>
      </c>
      <c r="F15">
        <f>IF($B$21&gt;0,B15/$B$21,0)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97017272</v>
      </c>
      <c r="C16" t="n">
        <v>13</v>
      </c>
      <c r="D16">
        <f>C16/$H$3</f>
        <v/>
      </c>
      <c r="E16">
        <f>IF($J$3="",IF($B$21&gt;0,B16/$B$21,0),COMBIN($J$3,A16)*$L$3^A16*(1-$L$3)^($J$3-A16))</f>
        <v/>
      </c>
      <c r="F16">
        <f>IF($B$21&gt;0,B16/$B$21,0)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36325084</v>
      </c>
      <c r="C17" t="n">
        <v>1171</v>
      </c>
      <c r="D17">
        <f>C17/$H$3</f>
        <v/>
      </c>
      <c r="E17">
        <f>IF($J$3="",IF($B$21&gt;0,B17/$B$21,0),COMBIN($J$3,A17)*$L$3^A17*(1-$L$3)^($J$3-A17))</f>
        <v/>
      </c>
      <c r="F17">
        <f>IF($B$21&gt;0,B17/$B$21,0)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8242904</v>
      </c>
      <c r="C18" t="n">
        <v>108226</v>
      </c>
      <c r="D18">
        <f>C18/$H$3</f>
        <v/>
      </c>
      <c r="E18">
        <f>IF($J$3="",IF($B$21&gt;0,B18/$B$21,0),COMBIN($J$3,A18)*$L$3^A18*(1-$L$3)^($J$3-A18))</f>
        <v/>
      </c>
      <c r="F18">
        <f>IF($B$21&gt;0,B18/$B$21,0)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857306</v>
      </c>
      <c r="C19" t="n">
        <v>10000000</v>
      </c>
      <c r="D19">
        <f>C19/$H$3</f>
        <v/>
      </c>
      <c r="E19">
        <f>IF($J$3="",IF($B$21&gt;0,B19/$B$21,0),COMBIN($J$3,A19)*$L$3^A19*(1-$L$3)^($J$3-A19))</f>
        <v/>
      </c>
      <c r="F19">
        <f>IF($B$21&gt;0,B19/$B$21,0)</f>
        <v/>
      </c>
      <c r="G19">
        <f>E19-F19</f>
        <v/>
      </c>
      <c r="H19">
        <f>D19*E19</f>
        <v/>
      </c>
      <c r="I19">
        <f>I18+E19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MAX(ABS(G7:G19))</f>
        <v/>
      </c>
      <c r="H21">
        <f>SUM(H7:H19)</f>
        <v/>
      </c>
      <c r="I21">
        <f>IF($B$3&gt;0,H21/$B$3,0)</f>
        <v/>
      </c>
      <c r="J21">
        <f>IF($D$3="","N/A",ABS(I21-$D$3)&lt;=$F$3)</f>
        <v/>
      </c>
    </row>
    <row r="22">
      <c r="A22" t="inlineStr">
        <is>
          <t>rtp_drift</t>
        </is>
      </c>
      <c r="B22">
        <f>IF($D$3="","",I21-$D$3)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buy100_expert_13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13</v>
      </c>
      <c r="K3" t="inlineStr">
        <is>
          <t>p_right</t>
        </is>
      </c>
      <c r="L3" t="n">
        <v>0.58087996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12314</v>
      </c>
      <c r="C7" t="n">
        <v>0</v>
      </c>
      <c r="D7">
        <f>C7/$H$3</f>
        <v/>
      </c>
      <c r="E7">
        <f>IF($J$3="",IF($B$22&gt;0,B7/$B$22,0),COMBIN($J$3,A7)*$L$3^A7*(1-$L$3)^($J$3-A7))</f>
        <v/>
      </c>
      <c r="F7">
        <f>IF($B$22&gt;0,B7/$B$22,0)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221866</v>
      </c>
      <c r="C8" t="n">
        <v>0</v>
      </c>
      <c r="D8">
        <f>C8/$H$3</f>
        <v/>
      </c>
      <c r="E8">
        <f>IF($J$3="",IF($B$22&gt;0,B8/$B$22,0),COMBIN($J$3,A8)*$L$3^A8*(1-$L$3)^($J$3-A8))</f>
        <v/>
      </c>
      <c r="F8">
        <f>IF($B$22&gt;0,B8/$B$22,0)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1844973</v>
      </c>
      <c r="C9" t="n">
        <v>0</v>
      </c>
      <c r="D9">
        <f>C9/$H$3</f>
        <v/>
      </c>
      <c r="E9">
        <f>IF($J$3="",IF($B$22&gt;0,B9/$B$22,0),COMBIN($J$3,A9)*$L$3^A9*(1-$L$3)^($J$3-A9))</f>
        <v/>
      </c>
      <c r="F9">
        <f>IF($B$22&gt;0,B9/$B$22,0)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9375825</v>
      </c>
      <c r="C10" t="n">
        <v>0</v>
      </c>
      <c r="D10">
        <f>C10/$H$3</f>
        <v/>
      </c>
      <c r="E10">
        <f>IF($J$3="",IF($B$22&gt;0,B10/$B$22,0),COMBIN($J$3,A10)*$L$3^A10*(1-$L$3)^($J$3-A10))</f>
        <v/>
      </c>
      <c r="F10">
        <f>IF($B$22&gt;0,B10/$B$22,0)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32486091</v>
      </c>
      <c r="C11" t="n">
        <v>0</v>
      </c>
      <c r="D11">
        <f>C11/$H$3</f>
        <v/>
      </c>
      <c r="E11">
        <f>IF($J$3="",IF($B$22&gt;0,B11/$B$22,0),COMBIN($J$3,A11)*$L$3^A11*(1-$L$3)^($J$3-A11))</f>
        <v/>
      </c>
      <c r="F11">
        <f>IF($B$22&gt;0,B11/$B$22,0)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81043452</v>
      </c>
      <c r="C12" t="n">
        <v>0</v>
      </c>
      <c r="D12">
        <f>C12/$H$3</f>
        <v/>
      </c>
      <c r="E12">
        <f>IF($J$3="",IF($B$22&gt;0,B12/$B$22,0),COMBIN($J$3,A12)*$L$3^A12*(1-$L$3)^($J$3-A12))</f>
        <v/>
      </c>
      <c r="F12">
        <f>IF($B$22&gt;0,B12/$B$22,0)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149763036</v>
      </c>
      <c r="C13" t="n">
        <v>0</v>
      </c>
      <c r="D13">
        <f>C13/$H$3</f>
        <v/>
      </c>
      <c r="E13">
        <f>IF($J$3="",IF($B$22&gt;0,B13/$B$22,0),COMBIN($J$3,A13)*$L$3^A13*(1-$L$3)^($J$3-A13))</f>
        <v/>
      </c>
      <c r="F13">
        <f>IF($B$22&gt;0,B13/$B$22,0)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207564273</v>
      </c>
      <c r="C14" t="n">
        <v>0</v>
      </c>
      <c r="D14">
        <f>C14/$H$3</f>
        <v/>
      </c>
      <c r="E14">
        <f>IF($J$3="",IF($B$22&gt;0,B14/$B$22,0),COMBIN($J$3,A14)*$L$3^A14*(1-$L$3)^($J$3-A14))</f>
        <v/>
      </c>
      <c r="F14">
        <f>IF($B$22&gt;0,B14/$B$22,0)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215755478</v>
      </c>
      <c r="C15" t="n">
        <v>0</v>
      </c>
      <c r="D15">
        <f>C15/$H$3</f>
        <v/>
      </c>
      <c r="E15">
        <f>IF($J$3="",IF($B$22&gt;0,B15/$B$22,0),COMBIN($J$3,A15)*$L$3^A15*(1-$L$3)^($J$3-A15))</f>
        <v/>
      </c>
      <c r="F15">
        <f>IF($B$22&gt;0,B15/$B$22,0)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166125879</v>
      </c>
      <c r="C16" t="n">
        <v>0</v>
      </c>
      <c r="D16">
        <f>C16/$H$3</f>
        <v/>
      </c>
      <c r="E16">
        <f>IF($J$3="",IF($B$22&gt;0,B16/$B$22,0),COMBIN($J$3,A16)*$L$3^A16*(1-$L$3)^($J$3-A16))</f>
        <v/>
      </c>
      <c r="F16">
        <f>IF($B$22&gt;0,B16/$B$22,0)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92096950</v>
      </c>
      <c r="C17" t="n">
        <v>14</v>
      </c>
      <c r="D17">
        <f>C17/$H$3</f>
        <v/>
      </c>
      <c r="E17">
        <f>IF($J$3="",IF($B$22&gt;0,B17/$B$22,0),COMBIN($J$3,A17)*$L$3^A17*(1-$L$3)^($J$3-A17))</f>
        <v/>
      </c>
      <c r="F17">
        <f>IF($B$22&gt;0,B17/$B$22,0)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34811424</v>
      </c>
      <c r="C18" t="n">
        <v>1231</v>
      </c>
      <c r="D18">
        <f>C18/$H$3</f>
        <v/>
      </c>
      <c r="E18">
        <f>IF($J$3="",IF($B$22&gt;0,B18/$B$22,0),COMBIN($J$3,A18)*$L$3^A18*(1-$L$3)^($J$3-A18))</f>
        <v/>
      </c>
      <c r="F18">
        <f>IF($B$22&gt;0,B18/$B$22,0)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8041156</v>
      </c>
      <c r="C19" t="n">
        <v>110932</v>
      </c>
      <c r="D19">
        <f>C19/$H$3</f>
        <v/>
      </c>
      <c r="E19">
        <f>IF($J$3="",IF($B$22&gt;0,B19/$B$22,0),COMBIN($J$3,A19)*$L$3^A19*(1-$L$3)^($J$3-A19))</f>
        <v/>
      </c>
      <c r="F19">
        <f>IF($B$22&gt;0,B19/$B$22,0)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857279</v>
      </c>
      <c r="C20" t="n">
        <v>10000000</v>
      </c>
      <c r="D20">
        <f>C20/$H$3</f>
        <v/>
      </c>
      <c r="E20">
        <f>IF($J$3="",IF($B$22&gt;0,B20/$B$22,0),COMBIN($J$3,A20)*$L$3^A20*(1-$L$3)^($J$3-A20))</f>
        <v/>
      </c>
      <c r="F20">
        <f>IF($B$22&gt;0,B20/$B$22,0)</f>
        <v/>
      </c>
      <c r="G20">
        <f>E20-F20</f>
        <v/>
      </c>
      <c r="H20">
        <f>D20*E20</f>
        <v/>
      </c>
      <c r="I20">
        <f>I19+E20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MAX(ABS(G7:G20))</f>
        <v/>
      </c>
      <c r="H22">
        <f>SUM(H7:H20)</f>
        <v/>
      </c>
      <c r="I22">
        <f>IF($B$3&gt;0,H22/$B$3,0)</f>
        <v/>
      </c>
      <c r="J22">
        <f>IF($D$3="","N/A",ABS(I22-$D$3)&lt;=$F$3)</f>
        <v/>
      </c>
    </row>
    <row r="23">
      <c r="A23" t="inlineStr">
        <is>
          <t>rtp_drift</t>
        </is>
      </c>
      <c r="B23">
        <f>IF($D$3="","",I22-$D$3)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buy100_expert_14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14</v>
      </c>
      <c r="K3" t="inlineStr">
        <is>
          <t>p_right</t>
        </is>
      </c>
      <c r="L3" t="n">
        <v>0.60386048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2344</v>
      </c>
      <c r="C7" t="n">
        <v>0</v>
      </c>
      <c r="D7">
        <f>C7/$H$3</f>
        <v/>
      </c>
      <c r="E7">
        <f>IF($J$3="",IF($B$23&gt;0,B7/$B$23,0),COMBIN($J$3,A7)*$L$3^A7*(1-$L$3)^($J$3-A7))</f>
        <v/>
      </c>
      <c r="F7">
        <f>IF($B$23&gt;0,B7/$B$23,0)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50014</v>
      </c>
      <c r="C8" t="n">
        <v>0</v>
      </c>
      <c r="D8">
        <f>C8/$H$3</f>
        <v/>
      </c>
      <c r="E8">
        <f>IF($J$3="",IF($B$23&gt;0,B8/$B$23,0),COMBIN($J$3,A8)*$L$3^A8*(1-$L$3)^($J$3-A8))</f>
        <v/>
      </c>
      <c r="F8">
        <f>IF($B$23&gt;0,B8/$B$23,0)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495556</v>
      </c>
      <c r="C9" t="n">
        <v>0</v>
      </c>
      <c r="D9">
        <f>C9/$H$3</f>
        <v/>
      </c>
      <c r="E9">
        <f>IF($J$3="",IF($B$23&gt;0,B9/$B$23,0),COMBIN($J$3,A9)*$L$3^A9*(1-$L$3)^($J$3-A9))</f>
        <v/>
      </c>
      <c r="F9">
        <f>IF($B$23&gt;0,B9/$B$23,0)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3021629</v>
      </c>
      <c r="C10" t="n">
        <v>0</v>
      </c>
      <c r="D10">
        <f>C10/$H$3</f>
        <v/>
      </c>
      <c r="E10">
        <f>IF($J$3="",IF($B$23&gt;0,B10/$B$23,0),COMBIN($J$3,A10)*$L$3^A10*(1-$L$3)^($J$3-A10))</f>
        <v/>
      </c>
      <c r="F10">
        <f>IF($B$23&gt;0,B10/$B$23,0)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12666664</v>
      </c>
      <c r="C11" t="n">
        <v>0</v>
      </c>
      <c r="D11">
        <f>C11/$H$3</f>
        <v/>
      </c>
      <c r="E11">
        <f>IF($J$3="",IF($B$23&gt;0,B11/$B$23,0),COMBIN($J$3,A11)*$L$3^A11*(1-$L$3)^($J$3-A11))</f>
        <v/>
      </c>
      <c r="F11">
        <f>IF($B$23&gt;0,B11/$B$23,0)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38617190</v>
      </c>
      <c r="C12" t="n">
        <v>0</v>
      </c>
      <c r="D12">
        <f>C12/$H$3</f>
        <v/>
      </c>
      <c r="E12">
        <f>IF($J$3="",IF($B$23&gt;0,B12/$B$23,0),COMBIN($J$3,A12)*$L$3^A12*(1-$L$3)^($J$3-A12))</f>
        <v/>
      </c>
      <c r="F12">
        <f>IF($B$23&gt;0,B12/$B$23,0)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88299930</v>
      </c>
      <c r="C13" t="n">
        <v>0</v>
      </c>
      <c r="D13">
        <f>C13/$H$3</f>
        <v/>
      </c>
      <c r="E13">
        <f>IF($J$3="",IF($B$23&gt;0,B13/$B$23,0),COMBIN($J$3,A13)*$L$3^A13*(1-$L$3)^($J$3-A13))</f>
        <v/>
      </c>
      <c r="F13">
        <f>IF($B$23&gt;0,B13/$B$23,0)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153829893</v>
      </c>
      <c r="C14" t="n">
        <v>0</v>
      </c>
      <c r="D14">
        <f>C14/$H$3</f>
        <v/>
      </c>
      <c r="E14">
        <f>IF($J$3="",IF($B$23&gt;0,B14/$B$23,0),COMBIN($J$3,A14)*$L$3^A14*(1-$L$3)^($J$3-A14))</f>
        <v/>
      </c>
      <c r="F14">
        <f>IF($B$23&gt;0,B14/$B$23,0)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205181038</v>
      </c>
      <c r="C15" t="n">
        <v>0</v>
      </c>
      <c r="D15">
        <f>C15/$H$3</f>
        <v/>
      </c>
      <c r="E15">
        <f>IF($J$3="",IF($B$23&gt;0,B15/$B$23,0),COMBIN($J$3,A15)*$L$3^A15*(1-$L$3)^($J$3-A15))</f>
        <v/>
      </c>
      <c r="F15">
        <f>IF($B$23&gt;0,B15/$B$23,0)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208513605</v>
      </c>
      <c r="C16" t="n">
        <v>0</v>
      </c>
      <c r="D16">
        <f>C16/$H$3</f>
        <v/>
      </c>
      <c r="E16">
        <f>IF($J$3="",IF($B$23&gt;0,B16/$B$23,0),COMBIN($J$3,A16)*$L$3^A16*(1-$L$3)^($J$3-A16))</f>
        <v/>
      </c>
      <c r="F16">
        <f>IF($B$23&gt;0,B16/$B$23,0)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158925224</v>
      </c>
      <c r="C17" t="n">
        <v>0</v>
      </c>
      <c r="D17">
        <f>C17/$H$3</f>
        <v/>
      </c>
      <c r="E17">
        <f>IF($J$3="",IF($B$23&gt;0,B17/$B$23,0),COMBIN($J$3,A17)*$L$3^A17*(1-$L$3)^($J$3-A17))</f>
        <v/>
      </c>
      <c r="F17">
        <f>IF($B$23&gt;0,B17/$B$23,0)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88094455</v>
      </c>
      <c r="C18" t="n">
        <v>15</v>
      </c>
      <c r="D18">
        <f>C18/$H$3</f>
        <v/>
      </c>
      <c r="E18">
        <f>IF($J$3="",IF($B$23&gt;0,B18/$B$23,0),COMBIN($J$3,A18)*$L$3^A18*(1-$L$3)^($J$3-A18))</f>
        <v/>
      </c>
      <c r="F18">
        <f>IF($B$23&gt;0,B18/$B$23,0)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33571984</v>
      </c>
      <c r="C19" t="n">
        <v>1283</v>
      </c>
      <c r="D19">
        <f>C19/$H$3</f>
        <v/>
      </c>
      <c r="E19">
        <f>IF($J$3="",IF($B$23&gt;0,B19/$B$23,0),COMBIN($J$3,A19)*$L$3^A19*(1-$L$3)^($J$3-A19))</f>
        <v/>
      </c>
      <c r="F19">
        <f>IF($B$23&gt;0,B19/$B$23,0)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7873215</v>
      </c>
      <c r="C20" t="n">
        <v>113290</v>
      </c>
      <c r="D20">
        <f>C20/$H$3</f>
        <v/>
      </c>
      <c r="E20">
        <f>IF($J$3="",IF($B$23&gt;0,B20/$B$23,0),COMBIN($J$3,A20)*$L$3^A20*(1-$L$3)^($J$3-A20))</f>
        <v/>
      </c>
      <c r="F20">
        <f>IF($B$23&gt;0,B20/$B$23,0)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857260</v>
      </c>
      <c r="C21" t="n">
        <v>10000000</v>
      </c>
      <c r="D21">
        <f>C21/$H$3</f>
        <v/>
      </c>
      <c r="E21">
        <f>IF($J$3="",IF($B$23&gt;0,B21/$B$23,0),COMBIN($J$3,A21)*$L$3^A21*(1-$L$3)^($J$3-A21))</f>
        <v/>
      </c>
      <c r="F21">
        <f>IF($B$23&gt;0,B21/$B$23,0)</f>
        <v/>
      </c>
      <c r="G21">
        <f>E21-F21</f>
        <v/>
      </c>
      <c r="H21">
        <f>D21*E21</f>
        <v/>
      </c>
      <c r="I21">
        <f>I20+E21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MAX(ABS(G7:G21))</f>
        <v/>
      </c>
      <c r="H23">
        <f>SUM(H7:H21)</f>
        <v/>
      </c>
      <c r="I23">
        <f>IF($B$3&gt;0,H23/$B$3,0)</f>
        <v/>
      </c>
      <c r="J23">
        <f>IF($D$3="","N/A",ABS(I23-$D$3)&lt;=$F$3)</f>
        <v/>
      </c>
    </row>
    <row r="24">
      <c r="A24" t="inlineStr">
        <is>
          <t>rtp_drift</t>
        </is>
      </c>
      <c r="B24">
        <f>IF($D$3="","",I23-$D$3)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buy100_expert_15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15</v>
      </c>
      <c r="K3" t="inlineStr">
        <is>
          <t>p_right</t>
        </is>
      </c>
      <c r="L3" t="n">
        <v>0.62451117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416</v>
      </c>
      <c r="C7" t="n">
        <v>0</v>
      </c>
      <c r="D7">
        <f>C7/$H$3</f>
        <v/>
      </c>
      <c r="E7">
        <f>IF($J$3="",IF($B$24&gt;0,B7/$B$24,0),COMBIN($J$3,A7)*$L$3^A7*(1-$L$3)^($J$3-A7))</f>
        <v/>
      </c>
      <c r="F7">
        <f>IF($B$24&gt;0,B7/$B$24,0)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10375</v>
      </c>
      <c r="C8" t="n">
        <v>0</v>
      </c>
      <c r="D8">
        <f>C8/$H$3</f>
        <v/>
      </c>
      <c r="E8">
        <f>IF($J$3="",IF($B$24&gt;0,B8/$B$24,0),COMBIN($J$3,A8)*$L$3^A8*(1-$L$3)^($J$3-A8))</f>
        <v/>
      </c>
      <c r="F8">
        <f>IF($B$24&gt;0,B8/$B$24,0)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120790</v>
      </c>
      <c r="C9" t="n">
        <v>0</v>
      </c>
      <c r="D9">
        <f>C9/$H$3</f>
        <v/>
      </c>
      <c r="E9">
        <f>IF($J$3="",IF($B$24&gt;0,B9/$B$24,0),COMBIN($J$3,A9)*$L$3^A9*(1-$L$3)^($J$3-A9))</f>
        <v/>
      </c>
      <c r="F9">
        <f>IF($B$24&gt;0,B9/$B$24,0)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870555</v>
      </c>
      <c r="C10" t="n">
        <v>0</v>
      </c>
      <c r="D10">
        <f>C10/$H$3</f>
        <v/>
      </c>
      <c r="E10">
        <f>IF($J$3="",IF($B$24&gt;0,B10/$B$24,0),COMBIN($J$3,A10)*$L$3^A10*(1-$L$3)^($J$3-A10))</f>
        <v/>
      </c>
      <c r="F10">
        <f>IF($B$24&gt;0,B10/$B$24,0)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4343709</v>
      </c>
      <c r="C11" t="n">
        <v>0</v>
      </c>
      <c r="D11">
        <f>C11/$H$3</f>
        <v/>
      </c>
      <c r="E11">
        <f>IF($J$3="",IF($B$24&gt;0,B11/$B$24,0),COMBIN($J$3,A11)*$L$3^A11*(1-$L$3)^($J$3-A11))</f>
        <v/>
      </c>
      <c r="F11">
        <f>IF($B$24&gt;0,B11/$B$24,0)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15893759</v>
      </c>
      <c r="C12" t="n">
        <v>0</v>
      </c>
      <c r="D12">
        <f>C12/$H$3</f>
        <v/>
      </c>
      <c r="E12">
        <f>IF($J$3="",IF($B$24&gt;0,B12/$B$24,0),COMBIN($J$3,A12)*$L$3^A12*(1-$L$3)^($J$3-A12))</f>
        <v/>
      </c>
      <c r="F12">
        <f>IF($B$24&gt;0,B12/$B$24,0)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44057369</v>
      </c>
      <c r="C13" t="n">
        <v>0</v>
      </c>
      <c r="D13">
        <f>C13/$H$3</f>
        <v/>
      </c>
      <c r="E13">
        <f>IF($J$3="",IF($B$24&gt;0,B13/$B$24,0),COMBIN($J$3,A13)*$L$3^A13*(1-$L$3)^($J$3-A13))</f>
        <v/>
      </c>
      <c r="F13">
        <f>IF($B$24&gt;0,B13/$B$24,0)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94211998</v>
      </c>
      <c r="C14" t="n">
        <v>0</v>
      </c>
      <c r="D14">
        <f>C14/$H$3</f>
        <v/>
      </c>
      <c r="E14">
        <f>IF($J$3="",IF($B$24&gt;0,B14/$B$24,0),COMBIN($J$3,A14)*$L$3^A14*(1-$L$3)^($J$3-A14))</f>
        <v/>
      </c>
      <c r="F14">
        <f>IF($B$24&gt;0,B14/$B$24,0)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156692928</v>
      </c>
      <c r="C15" t="n">
        <v>0</v>
      </c>
      <c r="D15">
        <f>C15/$H$3</f>
        <v/>
      </c>
      <c r="E15">
        <f>IF($J$3="",IF($B$24&gt;0,B15/$B$24,0),COMBIN($J$3,A15)*$L$3^A15*(1-$L$3)^($J$3-A15))</f>
        <v/>
      </c>
      <c r="F15">
        <f>IF($B$24&gt;0,B15/$B$24,0)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202697369</v>
      </c>
      <c r="C16" t="n">
        <v>0</v>
      </c>
      <c r="D16">
        <f>C16/$H$3</f>
        <v/>
      </c>
      <c r="E16">
        <f>IF($J$3="",IF($B$24&gt;0,B16/$B$24,0),COMBIN($J$3,A16)*$L$3^A16*(1-$L$3)^($J$3-A16))</f>
        <v/>
      </c>
      <c r="F16">
        <f>IF($B$24&gt;0,B16/$B$24,0)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202275157</v>
      </c>
      <c r="C17" t="n">
        <v>0</v>
      </c>
      <c r="D17">
        <f>C17/$H$3</f>
        <v/>
      </c>
      <c r="E17">
        <f>IF($J$3="",IF($B$24&gt;0,B17/$B$24,0),COMBIN($J$3,A17)*$L$3^A17*(1-$L$3)^($J$3-A17))</f>
        <v/>
      </c>
      <c r="F17">
        <f>IF($B$24&gt;0,B17/$B$24,0)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152919564</v>
      </c>
      <c r="C18" t="n">
        <v>0</v>
      </c>
      <c r="D18">
        <f>C18/$H$3</f>
        <v/>
      </c>
      <c r="E18">
        <f>IF($J$3="",IF($B$24&gt;0,B18/$B$24,0),COMBIN($J$3,A18)*$L$3^A18*(1-$L$3)^($J$3-A18))</f>
        <v/>
      </c>
      <c r="F18">
        <f>IF($B$24&gt;0,B18/$B$24,0)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84778354</v>
      </c>
      <c r="C19" t="n">
        <v>15</v>
      </c>
      <c r="D19">
        <f>C19/$H$3</f>
        <v/>
      </c>
      <c r="E19">
        <f>IF($J$3="",IF($B$24&gt;0,B19/$B$24,0),COMBIN($J$3,A19)*$L$3^A19*(1-$L$3)^($J$3-A19))</f>
        <v/>
      </c>
      <c r="F19">
        <f>IF($B$24&gt;0,B19/$B$24,0)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32539140</v>
      </c>
      <c r="C20" t="n">
        <v>1331</v>
      </c>
      <c r="D20">
        <f>C20/$H$3</f>
        <v/>
      </c>
      <c r="E20">
        <f>IF($J$3="",IF($B$24&gt;0,B20/$B$24,0),COMBIN($J$3,A20)*$L$3^A20*(1-$L$3)^($J$3-A20))</f>
        <v/>
      </c>
      <c r="F20">
        <f>IF($B$24&gt;0,B20/$B$24,0)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7731277</v>
      </c>
      <c r="C21" t="n">
        <v>115363</v>
      </c>
      <c r="D21">
        <f>C21/$H$3</f>
        <v/>
      </c>
      <c r="E21">
        <f>IF($J$3="",IF($B$24&gt;0,B21/$B$24,0),COMBIN($J$3,A21)*$L$3^A21*(1-$L$3)^($J$3-A21))</f>
        <v/>
      </c>
      <c r="F21">
        <f>IF($B$24&gt;0,B21/$B$24,0)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857247</v>
      </c>
      <c r="C22" t="n">
        <v>10000000</v>
      </c>
      <c r="D22">
        <f>C22/$H$3</f>
        <v/>
      </c>
      <c r="E22">
        <f>IF($J$3="",IF($B$24&gt;0,B22/$B$24,0),COMBIN($J$3,A22)*$L$3^A22*(1-$L$3)^($J$3-A22))</f>
        <v/>
      </c>
      <c r="F22">
        <f>IF($B$24&gt;0,B22/$B$24,0)</f>
        <v/>
      </c>
      <c r="G22">
        <f>E22-F22</f>
        <v/>
      </c>
      <c r="H22">
        <f>D22*E22</f>
        <v/>
      </c>
      <c r="I22">
        <f>I21+E22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MAX(ABS(G7:G22))</f>
        <v/>
      </c>
      <c r="H24">
        <f>SUM(H7:H22)</f>
        <v/>
      </c>
      <c r="I24">
        <f>IF($B$3&gt;0,H24/$B$3,0)</f>
        <v/>
      </c>
      <c r="J24">
        <f>IF($D$3="","N/A",ABS(I24-$D$3)&lt;=$F$3)</f>
        <v/>
      </c>
    </row>
    <row r="25">
      <c r="A25" t="inlineStr">
        <is>
          <t>rtp_drift</t>
        </is>
      </c>
      <c r="B25">
        <f>IF($D$3="","",I24-$D$3)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buy100_expert_16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16</v>
      </c>
      <c r="K3" t="inlineStr">
        <is>
          <t>p_right</t>
        </is>
      </c>
      <c r="L3" t="n">
        <v>0.64315911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69</v>
      </c>
      <c r="C7" t="n">
        <v>0</v>
      </c>
      <c r="D7">
        <f>C7/$H$3</f>
        <v/>
      </c>
      <c r="E7">
        <f>IF($J$3="",IF($B$25&gt;0,B7/$B$25,0),COMBIN($J$3,A7)*$L$3^A7*(1-$L$3)^($J$3-A7))</f>
        <v/>
      </c>
      <c r="F7">
        <f>IF($B$25&gt;0,B7/$B$25,0)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1993</v>
      </c>
      <c r="C8" t="n">
        <v>0</v>
      </c>
      <c r="D8">
        <f>C8/$H$3</f>
        <v/>
      </c>
      <c r="E8">
        <f>IF($J$3="",IF($B$25&gt;0,B8/$B$25,0),COMBIN($J$3,A8)*$L$3^A8*(1-$L$3)^($J$3-A8))</f>
        <v/>
      </c>
      <c r="F8">
        <f>IF($B$25&gt;0,B8/$B$25,0)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26944</v>
      </c>
      <c r="C9" t="n">
        <v>0</v>
      </c>
      <c r="D9">
        <f>C9/$H$3</f>
        <v/>
      </c>
      <c r="E9">
        <f>IF($J$3="",IF($B$25&gt;0,B9/$B$25,0),COMBIN($J$3,A9)*$L$3^A9*(1-$L$3)^($J$3-A9))</f>
        <v/>
      </c>
      <c r="F9">
        <f>IF($B$25&gt;0,B9/$B$25,0)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226628</v>
      </c>
      <c r="C10" t="n">
        <v>0</v>
      </c>
      <c r="D10">
        <f>C10/$H$3</f>
        <v/>
      </c>
      <c r="E10">
        <f>IF($J$3="",IF($B$25&gt;0,B10/$B$25,0),COMBIN($J$3,A10)*$L$3^A10*(1-$L$3)^($J$3-A10))</f>
        <v/>
      </c>
      <c r="F10">
        <f>IF($B$25&gt;0,B10/$B$25,0)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1327518</v>
      </c>
      <c r="C11" t="n">
        <v>0</v>
      </c>
      <c r="D11">
        <f>C11/$H$3</f>
        <v/>
      </c>
      <c r="E11">
        <f>IF($J$3="",IF($B$25&gt;0,B11/$B$25,0),COMBIN($J$3,A11)*$L$3^A11*(1-$L$3)^($J$3-A11))</f>
        <v/>
      </c>
      <c r="F11">
        <f>IF($B$25&gt;0,B11/$B$25,0)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5742427</v>
      </c>
      <c r="C12" t="n">
        <v>0</v>
      </c>
      <c r="D12">
        <f>C12/$H$3</f>
        <v/>
      </c>
      <c r="E12">
        <f>IF($J$3="",IF($B$25&gt;0,B12/$B$25,0),COMBIN($J$3,A12)*$L$3^A12*(1-$L$3)^($J$3-A12))</f>
        <v/>
      </c>
      <c r="F12">
        <f>IF($B$25&gt;0,B12/$B$25,0)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18974954</v>
      </c>
      <c r="C13" t="n">
        <v>0</v>
      </c>
      <c r="D13">
        <f>C13/$H$3</f>
        <v/>
      </c>
      <c r="E13">
        <f>IF($J$3="",IF($B$25&gt;0,B13/$B$25,0),COMBIN($J$3,A13)*$L$3^A13*(1-$L$3)^($J$3-A13))</f>
        <v/>
      </c>
      <c r="F13">
        <f>IF($B$25&gt;0,B13/$B$25,0)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48856967</v>
      </c>
      <c r="C14" t="n">
        <v>0</v>
      </c>
      <c r="D14">
        <f>C14/$H$3</f>
        <v/>
      </c>
      <c r="E14">
        <f>IF($J$3="",IF($B$25&gt;0,B14/$B$25,0),COMBIN($J$3,A14)*$L$3^A14*(1-$L$3)^($J$3-A14))</f>
        <v/>
      </c>
      <c r="F14">
        <f>IF($B$25&gt;0,B14/$B$25,0)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99065593</v>
      </c>
      <c r="C15" t="n">
        <v>0</v>
      </c>
      <c r="D15">
        <f>C15/$H$3</f>
        <v/>
      </c>
      <c r="E15">
        <f>IF($J$3="",IF($B$25&gt;0,B15/$B$25,0),COMBIN($J$3,A15)*$L$3^A15*(1-$L$3)^($J$3-A15))</f>
        <v/>
      </c>
      <c r="F15">
        <f>IF($B$25&gt;0,B15/$B$25,0)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158713600</v>
      </c>
      <c r="C16" t="n">
        <v>0</v>
      </c>
      <c r="D16">
        <f>C16/$H$3</f>
        <v/>
      </c>
      <c r="E16">
        <f>IF($J$3="",IF($B$25&gt;0,B16/$B$25,0),COMBIN($J$3,A16)*$L$3^A16*(1-$L$3)^($J$3-A16))</f>
        <v/>
      </c>
      <c r="F16">
        <f>IF($B$25&gt;0,B16/$B$25,0)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200242381</v>
      </c>
      <c r="C17" t="n">
        <v>0</v>
      </c>
      <c r="D17">
        <f>C17/$H$3</f>
        <v/>
      </c>
      <c r="E17">
        <f>IF($J$3="",IF($B$25&gt;0,B17/$B$25,0),COMBIN($J$3,A17)*$L$3^A17*(1-$L$3)^($J$3-A17))</f>
        <v/>
      </c>
      <c r="F17">
        <f>IF($B$25&gt;0,B17/$B$25,0)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196860410</v>
      </c>
      <c r="C18" t="n">
        <v>0</v>
      </c>
      <c r="D18">
        <f>C18/$H$3</f>
        <v/>
      </c>
      <c r="E18">
        <f>IF($J$3="",IF($B$25&gt;0,B18/$B$25,0),COMBIN($J$3,A18)*$L$3^A18*(1-$L$3)^($J$3-A18))</f>
        <v/>
      </c>
      <c r="F18">
        <f>IF($B$25&gt;0,B18/$B$25,0)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147839663</v>
      </c>
      <c r="C19" t="n">
        <v>0</v>
      </c>
      <c r="D19">
        <f>C19/$H$3</f>
        <v/>
      </c>
      <c r="E19">
        <f>IF($J$3="",IF($B$25&gt;0,B19/$B$25,0),COMBIN($J$3,A19)*$L$3^A19*(1-$L$3)^($J$3-A19))</f>
        <v/>
      </c>
      <c r="F19">
        <f>IF($B$25&gt;0,B19/$B$25,0)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81988213</v>
      </c>
      <c r="C20" t="n">
        <v>16</v>
      </c>
      <c r="D20">
        <f>C20/$H$3</f>
        <v/>
      </c>
      <c r="E20">
        <f>IF($J$3="",IF($B$25&gt;0,B20/$B$25,0),COMBIN($J$3,A20)*$L$3^A20*(1-$L$3)^($J$3-A20))</f>
        <v/>
      </c>
      <c r="F20">
        <f>IF($B$25&gt;0,B20/$B$25,0)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31665654</v>
      </c>
      <c r="C21" t="n">
        <v>1374</v>
      </c>
      <c r="D21">
        <f>C21/$H$3</f>
        <v/>
      </c>
      <c r="E21">
        <f>IF($J$3="",IF($B$25&gt;0,B21/$B$25,0),COMBIN($J$3,A21)*$L$3^A21*(1-$L$3)^($J$3-A21))</f>
        <v/>
      </c>
      <c r="F21">
        <f>IF($B$25&gt;0,B21/$B$25,0)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7609761</v>
      </c>
      <c r="C22" t="n">
        <v>117199</v>
      </c>
      <c r="D22">
        <f>C22/$H$3</f>
        <v/>
      </c>
      <c r="E22">
        <f>IF($J$3="",IF($B$25&gt;0,B22/$B$25,0),COMBIN($J$3,A22)*$L$3^A22*(1-$L$3)^($J$3-A22))</f>
        <v/>
      </c>
      <c r="F22">
        <f>IF($B$25&gt;0,B22/$B$25,0)</f>
        <v/>
      </c>
      <c r="G22">
        <f>E22-F22</f>
        <v/>
      </c>
      <c r="H22">
        <f>D22*E22</f>
        <v/>
      </c>
      <c r="I22">
        <f>I21+E22</f>
        <v/>
      </c>
    </row>
    <row r="23">
      <c r="A23" t="n">
        <v>16</v>
      </c>
      <c r="B23" t="n">
        <v>857227</v>
      </c>
      <c r="C23" t="n">
        <v>10000000</v>
      </c>
      <c r="D23">
        <f>C23/$H$3</f>
        <v/>
      </c>
      <c r="E23">
        <f>IF($J$3="",IF($B$25&gt;0,B23/$B$25,0),COMBIN($J$3,A23)*$L$3^A23*(1-$L$3)^($J$3-A23))</f>
        <v/>
      </c>
      <c r="F23">
        <f>IF($B$25&gt;0,B23/$B$25,0)</f>
        <v/>
      </c>
      <c r="G23">
        <f>E23-F23</f>
        <v/>
      </c>
      <c r="H23">
        <f>D23*E23</f>
        <v/>
      </c>
      <c r="I23">
        <f>I22+E23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MAX(ABS(G7:G23))</f>
        <v/>
      </c>
      <c r="H25">
        <f>SUM(H7:H23)</f>
        <v/>
      </c>
      <c r="I25">
        <f>IF($B$3&gt;0,H25/$B$3,0)</f>
        <v/>
      </c>
      <c r="J25">
        <f>IF($D$3="","N/A",ABS(I25-$D$3)&lt;=$F$3)</f>
        <v/>
      </c>
    </row>
    <row r="26">
      <c r="A26" t="inlineStr">
        <is>
          <t>rtp_drift</t>
        </is>
      </c>
      <c r="B26">
        <f>IF($D$3="","",I25-$D$3)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buy100_expert_8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8</v>
      </c>
      <c r="K3" t="inlineStr">
        <is>
          <t>p_right</t>
        </is>
      </c>
      <c r="L3" t="n">
        <v>0.45167124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8171997</v>
      </c>
      <c r="C7" t="n">
        <v>0</v>
      </c>
      <c r="D7">
        <f>C7/$H$3</f>
        <v/>
      </c>
      <c r="E7">
        <f>IF($J$3="",IF($B$17&gt;0,B7/$B$17,0),COMBIN($J$3,A7)*$L$3^A7*(1-$L$3)^($J$3-A7))</f>
        <v/>
      </c>
      <c r="F7">
        <f>IF($B$17&gt;0,B7/$B$17,0)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53851723</v>
      </c>
      <c r="C8" t="n">
        <v>0</v>
      </c>
      <c r="D8">
        <f>C8/$H$3</f>
        <v/>
      </c>
      <c r="E8">
        <f>IF($J$3="",IF($B$17&gt;0,B8/$B$17,0),COMBIN($J$3,A8)*$L$3^A8*(1-$L$3)^($J$3-A8))</f>
        <v/>
      </c>
      <c r="F8">
        <f>IF($B$17&gt;0,B8/$B$17,0)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155256239</v>
      </c>
      <c r="C9" t="n">
        <v>0</v>
      </c>
      <c r="D9">
        <f>C9/$H$3</f>
        <v/>
      </c>
      <c r="E9">
        <f>IF($J$3="",IF($B$17&gt;0,B9/$B$17,0),COMBIN($J$3,A9)*$L$3^A9*(1-$L$3)^($J$3-A9))</f>
        <v/>
      </c>
      <c r="F9">
        <f>IF($B$17&gt;0,B9/$B$17,0)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255776399</v>
      </c>
      <c r="C10" t="n">
        <v>0</v>
      </c>
      <c r="D10">
        <f>C10/$H$3</f>
        <v/>
      </c>
      <c r="E10">
        <f>IF($J$3="",IF($B$17&gt;0,B10/$B$17,0),COMBIN($J$3,A10)*$L$3^A10*(1-$L$3)^($J$3-A10))</f>
        <v/>
      </c>
      <c r="F10">
        <f>IF($B$17&gt;0,B10/$B$17,0)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263361261</v>
      </c>
      <c r="C11" t="n">
        <v>0</v>
      </c>
      <c r="D11">
        <f>C11/$H$3</f>
        <v/>
      </c>
      <c r="E11">
        <f>IF($J$3="",IF($B$17&gt;0,B11/$B$17,0),COMBIN($J$3,A11)*$L$3^A11*(1-$L$3)^($J$3-A11))</f>
        <v/>
      </c>
      <c r="F11">
        <f>IF($B$17&gt;0,B11/$B$17,0)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173549470</v>
      </c>
      <c r="C12" t="n">
        <v>6</v>
      </c>
      <c r="D12">
        <f>C12/$H$3</f>
        <v/>
      </c>
      <c r="E12">
        <f>IF($J$3="",IF($B$17&gt;0,B12/$B$17,0),COMBIN($J$3,A12)*$L$3^A12*(1-$L$3)^($J$3-A12))</f>
        <v/>
      </c>
      <c r="F12">
        <f>IF($B$17&gt;0,B12/$B$17,0)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71478381</v>
      </c>
      <c r="C13" t="n">
        <v>569</v>
      </c>
      <c r="D13">
        <f>C13/$H$3</f>
        <v/>
      </c>
      <c r="E13">
        <f>IF($J$3="",IF($B$17&gt;0,B13/$B$17,0),COMBIN($J$3,A13)*$L$3^A13*(1-$L$3)^($J$3-A13))</f>
        <v/>
      </c>
      <c r="F13">
        <f>IF($B$17&gt;0,B13/$B$17,0)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16822405</v>
      </c>
      <c r="C14" t="n">
        <v>53093</v>
      </c>
      <c r="D14">
        <f>C14/$H$3</f>
        <v/>
      </c>
      <c r="E14">
        <f>IF($J$3="",IF($B$17&gt;0,B14/$B$17,0),COMBIN($J$3,A14)*$L$3^A14*(1-$L$3)^($J$3-A14))</f>
        <v/>
      </c>
      <c r="F14">
        <f>IF($B$17&gt;0,B14/$B$17,0)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1732139</v>
      </c>
      <c r="C15" t="n">
        <v>4950000</v>
      </c>
      <c r="D15">
        <f>C15/$H$3</f>
        <v/>
      </c>
      <c r="E15">
        <f>IF($J$3="",IF($B$17&gt;0,B15/$B$17,0),COMBIN($J$3,A15)*$L$3^A15*(1-$L$3)^($J$3-A15))</f>
        <v/>
      </c>
      <c r="F15">
        <f>IF($B$17&gt;0,B15/$B$17,0)</f>
        <v/>
      </c>
      <c r="G15">
        <f>E15-F15</f>
        <v/>
      </c>
      <c r="H15">
        <f>D15*E15</f>
        <v/>
      </c>
      <c r="I15">
        <f>I14+E15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MAX(ABS(G7:G15))</f>
        <v/>
      </c>
      <c r="H17">
        <f>SUM(H7:H15)</f>
        <v/>
      </c>
      <c r="I17">
        <f>IF($B$3&gt;0,H17/$B$3,0)</f>
        <v/>
      </c>
      <c r="J17">
        <f>IF($D$3="","N/A",ABS(I17-$D$3)&lt;=$F$3)</f>
        <v/>
      </c>
    </row>
    <row r="18">
      <c r="A18" t="inlineStr">
        <is>
          <t>rtp_drift</t>
        </is>
      </c>
      <c r="B18">
        <f>IF($D$3="","",I17-$D$3)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buy100_expert_9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9</v>
      </c>
      <c r="K3" t="inlineStr">
        <is>
          <t>p_right</t>
        </is>
      </c>
      <c r="L3" t="n">
        <v>0.45680177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4117420</v>
      </c>
      <c r="C7" t="n">
        <v>0</v>
      </c>
      <c r="D7">
        <f>C7/$H$3</f>
        <v/>
      </c>
      <c r="E7">
        <f>IF($J$3="",IF($B$18&gt;0,B7/$B$18,0),COMBIN($J$3,A7)*$L$3^A7*(1-$L$3)^($J$3-A7))</f>
        <v/>
      </c>
      <c r="F7">
        <f>IF($B$18&gt;0,B7/$B$18,0)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31162843</v>
      </c>
      <c r="C8" t="n">
        <v>0</v>
      </c>
      <c r="D8">
        <f>C8/$H$3</f>
        <v/>
      </c>
      <c r="E8">
        <f>IF($J$3="",IF($B$18&gt;0,B8/$B$18,0),COMBIN($J$3,A8)*$L$3^A8*(1-$L$3)^($J$3-A8))</f>
        <v/>
      </c>
      <c r="F8">
        <f>IF($B$18&gt;0,B8/$B$18,0)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104825391</v>
      </c>
      <c r="C9" t="n">
        <v>0</v>
      </c>
      <c r="D9">
        <f>C9/$H$3</f>
        <v/>
      </c>
      <c r="E9">
        <f>IF($J$3="",IF($B$18&gt;0,B9/$B$18,0),COMBIN($J$3,A9)*$L$3^A9*(1-$L$3)^($J$3-A9))</f>
        <v/>
      </c>
      <c r="F9">
        <f>IF($B$18&gt;0,B9/$B$18,0)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205689775</v>
      </c>
      <c r="C10" t="n">
        <v>0</v>
      </c>
      <c r="D10">
        <f>C10/$H$3</f>
        <v/>
      </c>
      <c r="E10">
        <f>IF($J$3="",IF($B$18&gt;0,B10/$B$18,0),COMBIN($J$3,A10)*$L$3^A10*(1-$L$3)^($J$3-A10))</f>
        <v/>
      </c>
      <c r="F10">
        <f>IF($B$18&gt;0,B10/$B$18,0)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259461777</v>
      </c>
      <c r="C11" t="n">
        <v>0</v>
      </c>
      <c r="D11">
        <f>C11/$H$3</f>
        <v/>
      </c>
      <c r="E11">
        <f>IF($J$3="",IF($B$18&gt;0,B11/$B$18,0),COMBIN($J$3,A11)*$L$3^A11*(1-$L$3)^($J$3-A11))</f>
        <v/>
      </c>
      <c r="F11">
        <f>IF($B$18&gt;0,B11/$B$18,0)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218194005</v>
      </c>
      <c r="C12" t="n">
        <v>0</v>
      </c>
      <c r="D12">
        <f>C12/$H$3</f>
        <v/>
      </c>
      <c r="E12">
        <f>IF($J$3="",IF($B$18&gt;0,B12/$B$18,0),COMBIN($J$3,A12)*$L$3^A12*(1-$L$3)^($J$3-A12))</f>
        <v/>
      </c>
      <c r="F12">
        <f>IF($B$18&gt;0,B12/$B$18,0)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122326622</v>
      </c>
      <c r="C13" t="n">
        <v>9</v>
      </c>
      <c r="D13">
        <f>C13/$H$3</f>
        <v/>
      </c>
      <c r="E13">
        <f>IF($J$3="",IF($B$18&gt;0,B13/$B$18,0),COMBIN($J$3,A13)*$L$3^A13*(1-$L$3)^($J$3-A13))</f>
        <v/>
      </c>
      <c r="F13">
        <f>IF($B$18&gt;0,B13/$B$18,0)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44087312</v>
      </c>
      <c r="C14" t="n">
        <v>937</v>
      </c>
      <c r="D14">
        <f>C14/$H$3</f>
        <v/>
      </c>
      <c r="E14">
        <f>IF($J$3="",IF($B$18&gt;0,B14/$B$18,0),COMBIN($J$3,A14)*$L$3^A14*(1-$L$3)^($J$3-A14))</f>
        <v/>
      </c>
      <c r="F14">
        <f>IF($B$18&gt;0,B14/$B$18,0)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9268790</v>
      </c>
      <c r="C15" t="n">
        <v>96290</v>
      </c>
      <c r="D15">
        <f>C15/$H$3</f>
        <v/>
      </c>
      <c r="E15">
        <f>IF($J$3="",IF($B$18&gt;0,B15/$B$18,0),COMBIN($J$3,A15)*$L$3^A15*(1-$L$3)^($J$3-A15))</f>
        <v/>
      </c>
      <c r="F15">
        <f>IF($B$18&gt;0,B15/$B$18,0)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866065</v>
      </c>
      <c r="C16" t="n">
        <v>9900000</v>
      </c>
      <c r="D16">
        <f>C16/$H$3</f>
        <v/>
      </c>
      <c r="E16">
        <f>IF($J$3="",IF($B$18&gt;0,B16/$B$18,0),COMBIN($J$3,A16)*$L$3^A16*(1-$L$3)^($J$3-A16))</f>
        <v/>
      </c>
      <c r="F16">
        <f>IF($B$18&gt;0,B16/$B$18,0)</f>
        <v/>
      </c>
      <c r="G16">
        <f>E16-F16</f>
        <v/>
      </c>
      <c r="H16">
        <f>D16*E16</f>
        <v/>
      </c>
      <c r="I16">
        <f>I15+E16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MAX(ABS(G7:G16))</f>
        <v/>
      </c>
      <c r="H18">
        <f>SUM(H7:H16)</f>
        <v/>
      </c>
      <c r="I18">
        <f>IF($B$3&gt;0,H18/$B$3,0)</f>
        <v/>
      </c>
      <c r="J18">
        <f>IF($D$3="","N/A",ABS(I18-$D$3)&lt;=$F$3)</f>
        <v/>
      </c>
    </row>
    <row r="19">
      <c r="A19" t="inlineStr">
        <is>
          <t>rtp_drift</t>
        </is>
      </c>
      <c r="B19">
        <f>IF($D$3="","",I18-$D$3)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buy100_high_10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10</v>
      </c>
      <c r="K3" t="inlineStr">
        <is>
          <t>p_right</t>
        </is>
      </c>
      <c r="L3" t="n">
        <v>0.63032353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47667</v>
      </c>
      <c r="C7" t="n">
        <v>0</v>
      </c>
      <c r="D7">
        <f>C7/$H$3</f>
        <v/>
      </c>
      <c r="E7">
        <f>IF($J$3="",IF($B$19&gt;0,B7/$B$19,0),COMBIN($J$3,A7)*$L$3^A7*(1-$L$3)^($J$3-A7))</f>
        <v/>
      </c>
      <c r="F7">
        <f>IF($B$19&gt;0,B7/$B$19,0)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812755</v>
      </c>
      <c r="C8" t="n">
        <v>0</v>
      </c>
      <c r="D8">
        <f>C8/$H$3</f>
        <v/>
      </c>
      <c r="E8">
        <f>IF($J$3="",IF($B$19&gt;0,B8/$B$19,0),COMBIN($J$3,A8)*$L$3^A8*(1-$L$3)^($J$3-A8))</f>
        <v/>
      </c>
      <c r="F8">
        <f>IF($B$19&gt;0,B8/$B$19,0)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6236114</v>
      </c>
      <c r="C9" t="n">
        <v>0</v>
      </c>
      <c r="D9">
        <f>C9/$H$3</f>
        <v/>
      </c>
      <c r="E9">
        <f>IF($J$3="",IF($B$19&gt;0,B9/$B$19,0),COMBIN($J$3,A9)*$L$3^A9*(1-$L$3)^($J$3-A9))</f>
        <v/>
      </c>
      <c r="F9">
        <f>IF($B$19&gt;0,B9/$B$19,0)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28354661</v>
      </c>
      <c r="C10" t="n">
        <v>0</v>
      </c>
      <c r="D10">
        <f>C10/$H$3</f>
        <v/>
      </c>
      <c r="E10">
        <f>IF($J$3="",IF($B$19&gt;0,B10/$B$19,0),COMBIN($J$3,A10)*$L$3^A10*(1-$L$3)^($J$3-A10))</f>
        <v/>
      </c>
      <c r="F10">
        <f>IF($B$19&gt;0,B10/$B$19,0)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84606597</v>
      </c>
      <c r="C11" t="n">
        <v>0</v>
      </c>
      <c r="D11">
        <f>C11/$H$3</f>
        <v/>
      </c>
      <c r="E11">
        <f>IF($J$3="",IF($B$19&gt;0,B11/$B$19,0),COMBIN($J$3,A11)*$L$3^A11*(1-$L$3)^($J$3-A11))</f>
        <v/>
      </c>
      <c r="F11">
        <f>IF($B$19&gt;0,B11/$B$19,0)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173112003</v>
      </c>
      <c r="C12" t="n">
        <v>0</v>
      </c>
      <c r="D12">
        <f>C12/$H$3</f>
        <v/>
      </c>
      <c r="E12">
        <f>IF($J$3="",IF($B$19&gt;0,B12/$B$19,0),COMBIN($J$3,A12)*$L$3^A12*(1-$L$3)^($J$3-A12))</f>
        <v/>
      </c>
      <c r="F12">
        <f>IF($B$19&gt;0,B12/$B$19,0)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245973118</v>
      </c>
      <c r="C13" t="n">
        <v>2</v>
      </c>
      <c r="D13">
        <f>C13/$H$3</f>
        <v/>
      </c>
      <c r="E13">
        <f>IF($J$3="",IF($B$19&gt;0,B13/$B$19,0),COMBIN($J$3,A13)*$L$3^A13*(1-$L$3)^($J$3-A13))</f>
        <v/>
      </c>
      <c r="F13">
        <f>IF($B$19&gt;0,B13/$B$19,0)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239657657</v>
      </c>
      <c r="C14" t="n">
        <v>56</v>
      </c>
      <c r="D14">
        <f>C14/$H$3</f>
        <v/>
      </c>
      <c r="E14">
        <f>IF($J$3="",IF($B$19&gt;0,B14/$B$19,0),COMBIN($J$3,A14)*$L$3^A14*(1-$L$3)^($J$3-A14))</f>
        <v/>
      </c>
      <c r="F14">
        <f>IF($B$19&gt;0,B14/$B$19,0)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153237228</v>
      </c>
      <c r="C15" t="n">
        <v>1337</v>
      </c>
      <c r="D15">
        <f>C15/$H$3</f>
        <v/>
      </c>
      <c r="E15">
        <f>IF($J$3="",IF($B$19&gt;0,B15/$B$19,0),COMBIN($J$3,A15)*$L$3^A15*(1-$L$3)^($J$3-A15))</f>
        <v/>
      </c>
      <c r="F15">
        <f>IF($B$19&gt;0,B15/$B$19,0)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58062200</v>
      </c>
      <c r="C16" t="n">
        <v>31712</v>
      </c>
      <c r="D16">
        <f>C16/$H$3</f>
        <v/>
      </c>
      <c r="E16">
        <f>IF($J$3="",IF($B$19&gt;0,B16/$B$19,0),COMBIN($J$3,A16)*$L$3^A16*(1-$L$3)^($J$3-A16))</f>
        <v/>
      </c>
      <c r="F16">
        <f>IF($B$19&gt;0,B16/$B$19,0)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9900176</v>
      </c>
      <c r="C17" t="n">
        <v>752400</v>
      </c>
      <c r="D17">
        <f>C17/$H$3</f>
        <v/>
      </c>
      <c r="E17">
        <f>IF($J$3="",IF($B$19&gt;0,B17/$B$19,0),COMBIN($J$3,A17)*$L$3^A17*(1-$L$3)^($J$3-A17))</f>
        <v/>
      </c>
      <c r="F17">
        <f>IF($B$19&gt;0,B17/$B$19,0)</f>
        <v/>
      </c>
      <c r="G17">
        <f>E17-F17</f>
        <v/>
      </c>
      <c r="H17">
        <f>D17*E17</f>
        <v/>
      </c>
      <c r="I17">
        <f>I16+E17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MAX(ABS(G7:G17))</f>
        <v/>
      </c>
      <c r="H19">
        <f>SUM(H7:H17)</f>
        <v/>
      </c>
      <c r="I19">
        <f>IF($B$3&gt;0,H19/$B$3,0)</f>
        <v/>
      </c>
      <c r="J19">
        <f>IF($D$3="","N/A",ABS(I19-$D$3)&lt;=$F$3)</f>
        <v/>
      </c>
    </row>
    <row r="20">
      <c r="A20" t="inlineStr">
        <is>
          <t>rtp_drift</t>
        </is>
      </c>
      <c r="B20">
        <f>IF($D$3="","",I19-$D$3)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buy100_high_11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11</v>
      </c>
      <c r="K3" t="inlineStr">
        <is>
          <t>p_right</t>
        </is>
      </c>
      <c r="L3" t="n">
        <v>0.63871585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13688</v>
      </c>
      <c r="C7" t="n">
        <v>0</v>
      </c>
      <c r="D7">
        <f>C7/$H$3</f>
        <v/>
      </c>
      <c r="E7">
        <f>IF($J$3="",IF($B$20&gt;0,B7/$B$20,0),COMBIN($J$3,A7)*$L$3^A7*(1-$L$3)^($J$3-A7))</f>
        <v/>
      </c>
      <c r="F7">
        <f>IF($B$20&gt;0,B7/$B$20,0)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266189</v>
      </c>
      <c r="C8" t="n">
        <v>0</v>
      </c>
      <c r="D8">
        <f>C8/$H$3</f>
        <v/>
      </c>
      <c r="E8">
        <f>IF($J$3="",IF($B$20&gt;0,B8/$B$20,0),COMBIN($J$3,A8)*$L$3^A8*(1-$L$3)^($J$3-A8))</f>
        <v/>
      </c>
      <c r="F8">
        <f>IF($B$20&gt;0,B8/$B$20,0)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2352980</v>
      </c>
      <c r="C9" t="n">
        <v>0</v>
      </c>
      <c r="D9">
        <f>C9/$H$3</f>
        <v/>
      </c>
      <c r="E9">
        <f>IF($J$3="",IF($B$20&gt;0,B9/$B$20,0),COMBIN($J$3,A9)*$L$3^A9*(1-$L$3)^($J$3-A9))</f>
        <v/>
      </c>
      <c r="F9">
        <f>IF($B$20&gt;0,B9/$B$20,0)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12479533</v>
      </c>
      <c r="C10" t="n">
        <v>0</v>
      </c>
      <c r="D10">
        <f>C10/$H$3</f>
        <v/>
      </c>
      <c r="E10">
        <f>IF($J$3="",IF($B$20&gt;0,B10/$B$20,0),COMBIN($J$3,A10)*$L$3^A10*(1-$L$3)^($J$3-A10))</f>
        <v/>
      </c>
      <c r="F10">
        <f>IF($B$20&gt;0,B10/$B$20,0)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44125242</v>
      </c>
      <c r="C11" t="n">
        <v>0</v>
      </c>
      <c r="D11">
        <f>C11/$H$3</f>
        <v/>
      </c>
      <c r="E11">
        <f>IF($J$3="",IF($B$20&gt;0,B11/$B$20,0),COMBIN($J$3,A11)*$L$3^A11*(1-$L$3)^($J$3-A11))</f>
        <v/>
      </c>
      <c r="F11">
        <f>IF($B$20&gt;0,B11/$B$20,0)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109212893</v>
      </c>
      <c r="C12" t="n">
        <v>0</v>
      </c>
      <c r="D12">
        <f>C12/$H$3</f>
        <v/>
      </c>
      <c r="E12">
        <f>IF($J$3="",IF($B$20&gt;0,B12/$B$20,0),COMBIN($J$3,A12)*$L$3^A12*(1-$L$3)^($J$3-A12))</f>
        <v/>
      </c>
      <c r="F12">
        <f>IF($B$20&gt;0,B12/$B$20,0)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193077954</v>
      </c>
      <c r="C13" t="n">
        <v>0</v>
      </c>
      <c r="D13">
        <f>C13/$H$3</f>
        <v/>
      </c>
      <c r="E13">
        <f>IF($J$3="",IF($B$20&gt;0,B13/$B$20,0),COMBIN($J$3,A13)*$L$3^A13*(1-$L$3)^($J$3-A13))</f>
        <v/>
      </c>
      <c r="F13">
        <f>IF($B$20&gt;0,B13/$B$20,0)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243816690</v>
      </c>
      <c r="C14" t="n">
        <v>0</v>
      </c>
      <c r="D14">
        <f>C14/$H$3</f>
        <v/>
      </c>
      <c r="E14">
        <f>IF($J$3="",IF($B$20&gt;0,B14/$B$20,0),COMBIN($J$3,A14)*$L$3^A14*(1-$L$3)^($J$3-A14))</f>
        <v/>
      </c>
      <c r="F14">
        <f>IF($B$20&gt;0,B14/$B$20,0)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215522299</v>
      </c>
      <c r="C15" t="n">
        <v>6</v>
      </c>
      <c r="D15">
        <f>C15/$H$3</f>
        <v/>
      </c>
      <c r="E15">
        <f>IF($J$3="",IF($B$20&gt;0,B15/$B$20,0),COMBIN($J$3,A15)*$L$3^A15*(1-$L$3)^($J$3-A15))</f>
        <v/>
      </c>
      <c r="F15">
        <f>IF($B$20&gt;0,B15/$B$20,0)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127007607</v>
      </c>
      <c r="C16" t="n">
        <v>332</v>
      </c>
      <c r="D16">
        <f>C16/$H$3</f>
        <v/>
      </c>
      <c r="E16">
        <f>IF($J$3="",IF($B$20&gt;0,B16/$B$20,0),COMBIN($J$3,A16)*$L$3^A16*(1-$L$3)^($J$3-A16))</f>
        <v/>
      </c>
      <c r="F16">
        <f>IF($B$20&gt;0,B16/$B$20,0)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44907461</v>
      </c>
      <c r="C17" t="n">
        <v>19847</v>
      </c>
      <c r="D17">
        <f>C17/$H$3</f>
        <v/>
      </c>
      <c r="E17">
        <f>IF($J$3="",IF($B$20&gt;0,B17/$B$20,0),COMBIN($J$3,A17)*$L$3^A17*(1-$L$3)^($J$3-A17))</f>
        <v/>
      </c>
      <c r="F17">
        <f>IF($B$20&gt;0,B17/$B$20,0)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7217349</v>
      </c>
      <c r="C18" t="n">
        <v>1188000</v>
      </c>
      <c r="D18">
        <f>C18/$H$3</f>
        <v/>
      </c>
      <c r="E18">
        <f>IF($J$3="",IF($B$20&gt;0,B18/$B$20,0),COMBIN($J$3,A18)*$L$3^A18*(1-$L$3)^($J$3-A18))</f>
        <v/>
      </c>
      <c r="F18">
        <f>IF($B$20&gt;0,B18/$B$20,0)</f>
        <v/>
      </c>
      <c r="G18">
        <f>E18-F18</f>
        <v/>
      </c>
      <c r="H18">
        <f>D18*E18</f>
        <v/>
      </c>
      <c r="I18">
        <f>I17+E18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MAX(ABS(G7:G18))</f>
        <v/>
      </c>
      <c r="H20">
        <f>SUM(H7:H18)</f>
        <v/>
      </c>
      <c r="I20">
        <f>IF($B$3&gt;0,H20/$B$3,0)</f>
        <v/>
      </c>
      <c r="J20">
        <f>IF($D$3="","N/A",ABS(I20-$D$3)&lt;=$F$3)</f>
        <v/>
      </c>
    </row>
    <row r="21">
      <c r="A21" t="inlineStr">
        <is>
          <t>rtp_drift</t>
        </is>
      </c>
      <c r="B21">
        <f>IF($D$3="","",I20-$D$3)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buy100_high_12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12</v>
      </c>
      <c r="K3" t="inlineStr">
        <is>
          <t>p_right</t>
        </is>
      </c>
      <c r="L3" t="n">
        <v>0.64405206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4137</v>
      </c>
      <c r="C7" t="n">
        <v>0</v>
      </c>
      <c r="D7">
        <f>C7/$H$3</f>
        <v/>
      </c>
      <c r="E7">
        <f>IF($J$3="",IF($B$21&gt;0,B7/$B$21,0),COMBIN($J$3,A7)*$L$3^A7*(1-$L$3)^($J$3-A7))</f>
        <v/>
      </c>
      <c r="F7">
        <f>IF($B$21&gt;0,B7/$B$21,0)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89816</v>
      </c>
      <c r="C8" t="n">
        <v>0</v>
      </c>
      <c r="D8">
        <f>C8/$H$3</f>
        <v/>
      </c>
      <c r="E8">
        <f>IF($J$3="",IF($B$21&gt;0,B8/$B$21,0),COMBIN($J$3,A8)*$L$3^A8*(1-$L$3)^($J$3-A8))</f>
        <v/>
      </c>
      <c r="F8">
        <f>IF($B$21&gt;0,B8/$B$21,0)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893821</v>
      </c>
      <c r="C9" t="n">
        <v>0</v>
      </c>
      <c r="D9">
        <f>C9/$H$3</f>
        <v/>
      </c>
      <c r="E9">
        <f>IF($J$3="",IF($B$21&gt;0,B9/$B$21,0),COMBIN($J$3,A9)*$L$3^A9*(1-$L$3)^($J$3-A9))</f>
        <v/>
      </c>
      <c r="F9">
        <f>IF($B$21&gt;0,B9/$B$21,0)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5390934</v>
      </c>
      <c r="C10" t="n">
        <v>0</v>
      </c>
      <c r="D10">
        <f>C10/$H$3</f>
        <v/>
      </c>
      <c r="E10">
        <f>IF($J$3="",IF($B$21&gt;0,B10/$B$21,0),COMBIN($J$3,A10)*$L$3^A10*(1-$L$3)^($J$3-A10))</f>
        <v/>
      </c>
      <c r="F10">
        <f>IF($B$21&gt;0,B10/$B$21,0)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21947295</v>
      </c>
      <c r="C11" t="n">
        <v>0</v>
      </c>
      <c r="D11">
        <f>C11/$H$3</f>
        <v/>
      </c>
      <c r="E11">
        <f>IF($J$3="",IF($B$21&gt;0,B11/$B$21,0),COMBIN($J$3,A11)*$L$3^A11*(1-$L$3)^($J$3-A11))</f>
        <v/>
      </c>
      <c r="F11">
        <f>IF($B$21&gt;0,B11/$B$21,0)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63538281</v>
      </c>
      <c r="C12" t="n">
        <v>0</v>
      </c>
      <c r="D12">
        <f>C12/$H$3</f>
        <v/>
      </c>
      <c r="E12">
        <f>IF($J$3="",IF($B$21&gt;0,B12/$B$21,0),COMBIN($J$3,A12)*$L$3^A12*(1-$L$3)^($J$3-A12))</f>
        <v/>
      </c>
      <c r="F12">
        <f>IF($B$21&gt;0,B12/$B$21,0)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134127160</v>
      </c>
      <c r="C13" t="n">
        <v>0</v>
      </c>
      <c r="D13">
        <f>C13/$H$3</f>
        <v/>
      </c>
      <c r="E13">
        <f>IF($J$3="",IF($B$21&gt;0,B13/$B$21,0),COMBIN($J$3,A13)*$L$3^A13*(1-$L$3)^($J$3-A13))</f>
        <v/>
      </c>
      <c r="F13">
        <f>IF($B$21&gt;0,B13/$B$21,0)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208019679</v>
      </c>
      <c r="C14" t="n">
        <v>0</v>
      </c>
      <c r="D14">
        <f>C14/$H$3</f>
        <v/>
      </c>
      <c r="E14">
        <f>IF($J$3="",IF($B$21&gt;0,B14/$B$21,0),COMBIN($J$3,A14)*$L$3^A14*(1-$L$3)^($J$3-A14))</f>
        <v/>
      </c>
      <c r="F14">
        <f>IF($B$21&gt;0,B14/$B$21,0)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235244198</v>
      </c>
      <c r="C15" t="n">
        <v>0</v>
      </c>
      <c r="D15">
        <f>C15/$H$3</f>
        <v/>
      </c>
      <c r="E15">
        <f>IF($J$3="",IF($B$21&gt;0,B15/$B$21,0),COMBIN($J$3,A15)*$L$3^A15*(1-$L$3)^($J$3-A15))</f>
        <v/>
      </c>
      <c r="F15">
        <f>IF($B$21&gt;0,B15/$B$21,0)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189178111</v>
      </c>
      <c r="C16" t="n">
        <v>7</v>
      </c>
      <c r="D16">
        <f>C16/$H$3</f>
        <v/>
      </c>
      <c r="E16">
        <f>IF($J$3="",IF($B$21&gt;0,B16/$B$21,0),COMBIN($J$3,A16)*$L$3^A16*(1-$L$3)^($J$3-A16))</f>
        <v/>
      </c>
      <c r="F16">
        <f>IF($B$21&gt;0,B16/$B$21,0)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102689638</v>
      </c>
      <c r="C17" t="n">
        <v>414</v>
      </c>
      <c r="D17">
        <f>C17/$H$3</f>
        <v/>
      </c>
      <c r="E17">
        <f>IF($J$3="",IF($B$21&gt;0,B17/$B$21,0),COMBIN($J$3,A17)*$L$3^A17*(1-$L$3)^($J$3-A17))</f>
        <v/>
      </c>
      <c r="F17">
        <f>IF($B$21&gt;0,B17/$B$21,0)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33783016</v>
      </c>
      <c r="C18" t="n">
        <v>26407</v>
      </c>
      <c r="D18">
        <f>C18/$H$3</f>
        <v/>
      </c>
      <c r="E18">
        <f>IF($J$3="",IF($B$21&gt;0,B18/$B$21,0),COMBIN($J$3,A18)*$L$3^A18*(1-$L$3)^($J$3-A18))</f>
        <v/>
      </c>
      <c r="F18">
        <f>IF($B$21&gt;0,B18/$B$21,0)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5093882</v>
      </c>
      <c r="C19" t="n">
        <v>1683000</v>
      </c>
      <c r="D19">
        <f>C19/$H$3</f>
        <v/>
      </c>
      <c r="E19">
        <f>IF($J$3="",IF($B$21&gt;0,B19/$B$21,0),COMBIN($J$3,A19)*$L$3^A19*(1-$L$3)^($J$3-A19))</f>
        <v/>
      </c>
      <c r="F19">
        <f>IF($B$21&gt;0,B19/$B$21,0)</f>
        <v/>
      </c>
      <c r="G19">
        <f>E19-F19</f>
        <v/>
      </c>
      <c r="H19">
        <f>D19*E19</f>
        <v/>
      </c>
      <c r="I19">
        <f>I18+E19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MAX(ABS(G7:G19))</f>
        <v/>
      </c>
      <c r="H21">
        <f>SUM(H7:H19)</f>
        <v/>
      </c>
      <c r="I21">
        <f>IF($B$3&gt;0,H21/$B$3,0)</f>
        <v/>
      </c>
      <c r="J21">
        <f>IF($D$3="","N/A",ABS(I21-$D$3)&lt;=$F$3)</f>
        <v/>
      </c>
    </row>
    <row r="22">
      <c r="A22" t="inlineStr">
        <is>
          <t>rtp_drift</t>
        </is>
      </c>
      <c r="B22">
        <f>IF($D$3="","",I21-$D$3)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buy100_high_13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13</v>
      </c>
      <c r="K3" t="inlineStr">
        <is>
          <t>p_right</t>
        </is>
      </c>
      <c r="L3" t="n">
        <v>0.64479564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1433</v>
      </c>
      <c r="C7" t="n">
        <v>0</v>
      </c>
      <c r="D7">
        <f>C7/$H$3</f>
        <v/>
      </c>
      <c r="E7">
        <f>IF($J$3="",IF($B$22&gt;0,B7/$B$22,0),COMBIN($J$3,A7)*$L$3^A7*(1-$L$3)^($J$3-A7))</f>
        <v/>
      </c>
      <c r="F7">
        <f>IF($B$22&gt;0,B7/$B$22,0)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33815</v>
      </c>
      <c r="C8" t="n">
        <v>0</v>
      </c>
      <c r="D8">
        <f>C8/$H$3</f>
        <v/>
      </c>
      <c r="E8">
        <f>IF($J$3="",IF($B$22&gt;0,B8/$B$22,0),COMBIN($J$3,A8)*$L$3^A8*(1-$L$3)^($J$3-A8))</f>
        <v/>
      </c>
      <c r="F8">
        <f>IF($B$22&gt;0,B8/$B$22,0)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368299</v>
      </c>
      <c r="C9" t="n">
        <v>0</v>
      </c>
      <c r="D9">
        <f>C9/$H$3</f>
        <v/>
      </c>
      <c r="E9">
        <f>IF($J$3="",IF($B$22&gt;0,B9/$B$22,0),COMBIN($J$3,A9)*$L$3^A9*(1-$L$3)^($J$3-A9))</f>
        <v/>
      </c>
      <c r="F9">
        <f>IF($B$22&gt;0,B9/$B$22,0)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2451406</v>
      </c>
      <c r="C10" t="n">
        <v>0</v>
      </c>
      <c r="D10">
        <f>C10/$H$3</f>
        <v/>
      </c>
      <c r="E10">
        <f>IF($J$3="",IF($B$22&gt;0,B10/$B$22,0),COMBIN($J$3,A10)*$L$3^A10*(1-$L$3)^($J$3-A10))</f>
        <v/>
      </c>
      <c r="F10">
        <f>IF($B$22&gt;0,B10/$B$22,0)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11124974</v>
      </c>
      <c r="C11" t="n">
        <v>0</v>
      </c>
      <c r="D11">
        <f>C11/$H$3</f>
        <v/>
      </c>
      <c r="E11">
        <f>IF($J$3="",IF($B$22&gt;0,B11/$B$22,0),COMBIN($J$3,A11)*$L$3^A11*(1-$L$3)^($J$3-A11))</f>
        <v/>
      </c>
      <c r="F11">
        <f>IF($B$22&gt;0,B11/$B$22,0)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36350913</v>
      </c>
      <c r="C12" t="n">
        <v>0</v>
      </c>
      <c r="D12">
        <f>C12/$H$3</f>
        <v/>
      </c>
      <c r="E12">
        <f>IF($J$3="",IF($B$22&gt;0,B12/$B$22,0),COMBIN($J$3,A12)*$L$3^A12*(1-$L$3)^($J$3-A12))</f>
        <v/>
      </c>
      <c r="F12">
        <f>IF($B$22&gt;0,B12/$B$22,0)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87982817</v>
      </c>
      <c r="C13" t="n">
        <v>0</v>
      </c>
      <c r="D13">
        <f>C13/$H$3</f>
        <v/>
      </c>
      <c r="E13">
        <f>IF($J$3="",IF($B$22&gt;0,B13/$B$22,0),COMBIN($J$3,A13)*$L$3^A13*(1-$L$3)^($J$3-A13))</f>
        <v/>
      </c>
      <c r="F13">
        <f>IF($B$22&gt;0,B13/$B$22,0)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159713513</v>
      </c>
      <c r="C14" t="n">
        <v>0</v>
      </c>
      <c r="D14">
        <f>C14/$H$3</f>
        <v/>
      </c>
      <c r="E14">
        <f>IF($J$3="",IF($B$22&gt;0,B14/$B$22,0),COMBIN($J$3,A14)*$L$3^A14*(1-$L$3)^($J$3-A14))</f>
        <v/>
      </c>
      <c r="F14">
        <f>IF($B$22&gt;0,B14/$B$22,0)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217443648</v>
      </c>
      <c r="C15" t="n">
        <v>0</v>
      </c>
      <c r="D15">
        <f>C15/$H$3</f>
        <v/>
      </c>
      <c r="E15">
        <f>IF($J$3="",IF($B$22&gt;0,B15/$B$22,0),COMBIN($J$3,A15)*$L$3^A15*(1-$L$3)^($J$3-A15))</f>
        <v/>
      </c>
      <c r="F15">
        <f>IF($B$22&gt;0,B15/$B$22,0)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219289593</v>
      </c>
      <c r="C16" t="n">
        <v>0</v>
      </c>
      <c r="D16">
        <f>C16/$H$3</f>
        <v/>
      </c>
      <c r="E16">
        <f>IF($J$3="",IF($B$22&gt;0,B16/$B$22,0),COMBIN($J$3,A16)*$L$3^A16*(1-$L$3)^($J$3-A16))</f>
        <v/>
      </c>
      <c r="F16">
        <f>IF($B$22&gt;0,B16/$B$22,0)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159228870</v>
      </c>
      <c r="C17" t="n">
        <v>8</v>
      </c>
      <c r="D17">
        <f>C17/$H$3</f>
        <v/>
      </c>
      <c r="E17">
        <f>IF($J$3="",IF($B$22&gt;0,B17/$B$22,0),COMBIN($J$3,A17)*$L$3^A17*(1-$L$3)^($J$3-A17))</f>
        <v/>
      </c>
      <c r="F17">
        <f>IF($B$22&gt;0,B17/$B$22,0)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78830482</v>
      </c>
      <c r="C18" t="n">
        <v>544</v>
      </c>
      <c r="D18">
        <f>C18/$H$3</f>
        <v/>
      </c>
      <c r="E18">
        <f>IF($J$3="",IF($B$22&gt;0,B18/$B$22,0),COMBIN($J$3,A18)*$L$3^A18*(1-$L$3)^($J$3-A18))</f>
        <v/>
      </c>
      <c r="F18">
        <f>IF($B$22&gt;0,B18/$B$22,0)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23849909</v>
      </c>
      <c r="C19" t="n">
        <v>37422</v>
      </c>
      <c r="D19">
        <f>C19/$H$3</f>
        <v/>
      </c>
      <c r="E19">
        <f>IF($J$3="",IF($B$22&gt;0,B19/$B$22,0),COMBIN($J$3,A19)*$L$3^A19*(1-$L$3)^($J$3-A19))</f>
        <v/>
      </c>
      <c r="F19">
        <f>IF($B$22&gt;0,B19/$B$22,0)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3330335</v>
      </c>
      <c r="C20" t="n">
        <v>2574000</v>
      </c>
      <c r="D20">
        <f>C20/$H$3</f>
        <v/>
      </c>
      <c r="E20">
        <f>IF($J$3="",IF($B$22&gt;0,B20/$B$22,0),COMBIN($J$3,A20)*$L$3^A20*(1-$L$3)^($J$3-A20))</f>
        <v/>
      </c>
      <c r="F20">
        <f>IF($B$22&gt;0,B20/$B$22,0)</f>
        <v/>
      </c>
      <c r="G20">
        <f>E20-F20</f>
        <v/>
      </c>
      <c r="H20">
        <f>D20*E20</f>
        <v/>
      </c>
      <c r="I20">
        <f>I19+E20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MAX(ABS(G7:G20))</f>
        <v/>
      </c>
      <c r="H22">
        <f>SUM(H7:H20)</f>
        <v/>
      </c>
      <c r="I22">
        <f>IF($B$3&gt;0,H22/$B$3,0)</f>
        <v/>
      </c>
      <c r="J22">
        <f>IF($D$3="","N/A",ABS(I22-$D$3)&lt;=$F$3)</f>
        <v/>
      </c>
    </row>
    <row r="23">
      <c r="A23" t="inlineStr">
        <is>
          <t>rtp_drift</t>
        </is>
      </c>
      <c r="B23">
        <f>IF($D$3="","",I22-$D$3)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buy100_high_14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14</v>
      </c>
      <c r="K3" t="inlineStr">
        <is>
          <t>p_right</t>
        </is>
      </c>
      <c r="L3" t="n">
        <v>0.64292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548</v>
      </c>
      <c r="C7" t="n">
        <v>0</v>
      </c>
      <c r="D7">
        <f>C7/$H$3</f>
        <v/>
      </c>
      <c r="E7">
        <f>IF($J$3="",IF($B$23&gt;0,B7/$B$23,0),COMBIN($J$3,A7)*$L$3^A7*(1-$L$3)^($J$3-A7))</f>
        <v/>
      </c>
      <c r="F7">
        <f>IF($B$23&gt;0,B7/$B$23,0)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13811</v>
      </c>
      <c r="C8" t="n">
        <v>0</v>
      </c>
      <c r="D8">
        <f>C8/$H$3</f>
        <v/>
      </c>
      <c r="E8">
        <f>IF($J$3="",IF($B$23&gt;0,B8/$B$23,0),COMBIN($J$3,A8)*$L$3^A8*(1-$L$3)^($J$3-A8))</f>
        <v/>
      </c>
      <c r="F8">
        <f>IF($B$23&gt;0,B8/$B$23,0)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161637</v>
      </c>
      <c r="C9" t="n">
        <v>0</v>
      </c>
      <c r="D9">
        <f>C9/$H$3</f>
        <v/>
      </c>
      <c r="E9">
        <f>IF($J$3="",IF($B$23&gt;0,B9/$B$23,0),COMBIN($J$3,A9)*$L$3^A9*(1-$L$3)^($J$3-A9))</f>
        <v/>
      </c>
      <c r="F9">
        <f>IF($B$23&gt;0,B9/$B$23,0)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1164107</v>
      </c>
      <c r="C10" t="n">
        <v>0</v>
      </c>
      <c r="D10">
        <f>C10/$H$3</f>
        <v/>
      </c>
      <c r="E10">
        <f>IF($J$3="",IF($B$23&gt;0,B10/$B$23,0),COMBIN($J$3,A10)*$L$3^A10*(1-$L$3)^($J$3-A10))</f>
        <v/>
      </c>
      <c r="F10">
        <f>IF($B$23&gt;0,B10/$B$23,0)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5763908</v>
      </c>
      <c r="C11" t="n">
        <v>0</v>
      </c>
      <c r="D11">
        <f>C11/$H$3</f>
        <v/>
      </c>
      <c r="E11">
        <f>IF($J$3="",IF($B$23&gt;0,B11/$B$23,0),COMBIN($J$3,A11)*$L$3^A11*(1-$L$3)^($J$3-A11))</f>
        <v/>
      </c>
      <c r="F11">
        <f>IF($B$23&gt;0,B11/$B$23,0)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20755752</v>
      </c>
      <c r="C12" t="n">
        <v>0</v>
      </c>
      <c r="D12">
        <f>C12/$H$3</f>
        <v/>
      </c>
      <c r="E12">
        <f>IF($J$3="",IF($B$23&gt;0,B12/$B$23,0),COMBIN($J$3,A12)*$L$3^A12*(1-$L$3)^($J$3-A12))</f>
        <v/>
      </c>
      <c r="F12">
        <f>IF($B$23&gt;0,B12/$B$23,0)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56055877</v>
      </c>
      <c r="C13" t="n">
        <v>0</v>
      </c>
      <c r="D13">
        <f>C13/$H$3</f>
        <v/>
      </c>
      <c r="E13">
        <f>IF($J$3="",IF($B$23&gt;0,B13/$B$23,0),COMBIN($J$3,A13)*$L$3^A13*(1-$L$3)^($J$3-A13))</f>
        <v/>
      </c>
      <c r="F13">
        <f>IF($B$23&gt;0,B13/$B$23,0)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115346524</v>
      </c>
      <c r="C14" t="n">
        <v>0</v>
      </c>
      <c r="D14">
        <f>C14/$H$3</f>
        <v/>
      </c>
      <c r="E14">
        <f>IF($J$3="",IF($B$23&gt;0,B14/$B$23,0),COMBIN($J$3,A14)*$L$3^A14*(1-$L$3)^($J$3-A14))</f>
        <v/>
      </c>
      <c r="F14">
        <f>IF($B$23&gt;0,B14/$B$23,0)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181720522</v>
      </c>
      <c r="C15" t="n">
        <v>0</v>
      </c>
      <c r="D15">
        <f>C15/$H$3</f>
        <v/>
      </c>
      <c r="E15">
        <f>IF($J$3="",IF($B$23&gt;0,B15/$B$23,0),COMBIN($J$3,A15)*$L$3^A15*(1-$L$3)^($J$3-A15))</f>
        <v/>
      </c>
      <c r="F15">
        <f>IF($B$23&gt;0,B15/$B$23,0)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218124339</v>
      </c>
      <c r="C16" t="n">
        <v>0</v>
      </c>
      <c r="D16">
        <f>C16/$H$3</f>
        <v/>
      </c>
      <c r="E16">
        <f>IF($J$3="",IF($B$23&gt;0,B16/$B$23,0),COMBIN($J$3,A16)*$L$3^A16*(1-$L$3)^($J$3-A16))</f>
        <v/>
      </c>
      <c r="F16">
        <f>IF($B$23&gt;0,B16/$B$23,0)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196365661</v>
      </c>
      <c r="C17" t="n">
        <v>0</v>
      </c>
      <c r="D17">
        <f>C17/$H$3</f>
        <v/>
      </c>
      <c r="E17">
        <f>IF($J$3="",IF($B$23&gt;0,B17/$B$23,0),COMBIN($J$3,A17)*$L$3^A17*(1-$L$3)^($J$3-A17))</f>
        <v/>
      </c>
      <c r="F17">
        <f>IF($B$23&gt;0,B17/$B$23,0)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128565446</v>
      </c>
      <c r="C18" t="n">
        <v>10</v>
      </c>
      <c r="D18">
        <f>C18/$H$3</f>
        <v/>
      </c>
      <c r="E18">
        <f>IF($J$3="",IF($B$23&gt;0,B18/$B$23,0),COMBIN($J$3,A18)*$L$3^A18*(1-$L$3)^($J$3-A18))</f>
        <v/>
      </c>
      <c r="F18">
        <f>IF($B$23&gt;0,B18/$B$23,0)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57870293</v>
      </c>
      <c r="C19" t="n">
        <v>746</v>
      </c>
      <c r="D19">
        <f>C19/$H$3</f>
        <v/>
      </c>
      <c r="E19">
        <f>IF($J$3="",IF($B$23&gt;0,B19/$B$23,0),COMBIN($J$3,A19)*$L$3^A19*(1-$L$3)^($J$3-A19))</f>
        <v/>
      </c>
      <c r="F19">
        <f>IF($B$23&gt;0,B19/$B$23,0)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16030008</v>
      </c>
      <c r="C20" t="n">
        <v>55677</v>
      </c>
      <c r="D20">
        <f>C20/$H$3</f>
        <v/>
      </c>
      <c r="E20">
        <f>IF($J$3="",IF($B$23&gt;0,B20/$B$23,0),COMBIN($J$3,A20)*$L$3^A20*(1-$L$3)^($J$3-A20))</f>
        <v/>
      </c>
      <c r="F20">
        <f>IF($B$23&gt;0,B20/$B$23,0)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2061566</v>
      </c>
      <c r="C21" t="n">
        <v>4158000</v>
      </c>
      <c r="D21">
        <f>C21/$H$3</f>
        <v/>
      </c>
      <c r="E21">
        <f>IF($J$3="",IF($B$23&gt;0,B21/$B$23,0),COMBIN($J$3,A21)*$L$3^A21*(1-$L$3)^($J$3-A21))</f>
        <v/>
      </c>
      <c r="F21">
        <f>IF($B$23&gt;0,B21/$B$23,0)</f>
        <v/>
      </c>
      <c r="G21">
        <f>E21-F21</f>
        <v/>
      </c>
      <c r="H21">
        <f>D21*E21</f>
        <v/>
      </c>
      <c r="I21">
        <f>I20+E21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MAX(ABS(G7:G21))</f>
        <v/>
      </c>
      <c r="H23">
        <f>SUM(H7:H21)</f>
        <v/>
      </c>
      <c r="I23">
        <f>IF($B$3&gt;0,H23/$B$3,0)</f>
        <v/>
      </c>
      <c r="J23">
        <f>IF($D$3="","N/A",ABS(I23-$D$3)&lt;=$F$3)</f>
        <v/>
      </c>
    </row>
    <row r="24">
      <c r="A24" t="inlineStr">
        <is>
          <t>rtp_drift</t>
        </is>
      </c>
      <c r="B24">
        <f>IF($D$3="","",I23-$D$3)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buy100_high_15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15</v>
      </c>
      <c r="K3" t="inlineStr">
        <is>
          <t>p_right</t>
        </is>
      </c>
      <c r="L3" t="n">
        <v>0.63187238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309</v>
      </c>
      <c r="C7" t="n">
        <v>0</v>
      </c>
      <c r="D7">
        <f>C7/$H$3</f>
        <v/>
      </c>
      <c r="E7">
        <f>IF($J$3="",IF($B$24&gt;0,B7/$B$24,0),COMBIN($J$3,A7)*$L$3^A7*(1-$L$3)^($J$3-A7))</f>
        <v/>
      </c>
      <c r="F7">
        <f>IF($B$24&gt;0,B7/$B$24,0)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7956</v>
      </c>
      <c r="C8" t="n">
        <v>0</v>
      </c>
      <c r="D8">
        <f>C8/$H$3</f>
        <v/>
      </c>
      <c r="E8">
        <f>IF($J$3="",IF($B$24&gt;0,B8/$B$24,0),COMBIN($J$3,A8)*$L$3^A8*(1-$L$3)^($J$3-A8))</f>
        <v/>
      </c>
      <c r="F8">
        <f>IF($B$24&gt;0,B8/$B$24,0)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95593</v>
      </c>
      <c r="C9" t="n">
        <v>0</v>
      </c>
      <c r="D9">
        <f>C9/$H$3</f>
        <v/>
      </c>
      <c r="E9">
        <f>IF($J$3="",IF($B$24&gt;0,B9/$B$24,0),COMBIN($J$3,A9)*$L$3^A9*(1-$L$3)^($J$3-A9))</f>
        <v/>
      </c>
      <c r="F9">
        <f>IF($B$24&gt;0,B9/$B$24,0)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711018</v>
      </c>
      <c r="C10" t="n">
        <v>0</v>
      </c>
      <c r="D10">
        <f>C10/$H$3</f>
        <v/>
      </c>
      <c r="E10">
        <f>IF($J$3="",IF($B$24&gt;0,B10/$B$24,0),COMBIN($J$3,A10)*$L$3^A10*(1-$L$3)^($J$3-A10))</f>
        <v/>
      </c>
      <c r="F10">
        <f>IF($B$24&gt;0,B10/$B$24,0)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3661277</v>
      </c>
      <c r="C11" t="n">
        <v>0</v>
      </c>
      <c r="D11">
        <f>C11/$H$3</f>
        <v/>
      </c>
      <c r="E11">
        <f>IF($J$3="",IF($B$24&gt;0,B11/$B$24,0),COMBIN($J$3,A11)*$L$3^A11*(1-$L$3)^($J$3-A11))</f>
        <v/>
      </c>
      <c r="F11">
        <f>IF($B$24&gt;0,B11/$B$24,0)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13825671</v>
      </c>
      <c r="C12" t="n">
        <v>0</v>
      </c>
      <c r="D12">
        <f>C12/$H$3</f>
        <v/>
      </c>
      <c r="E12">
        <f>IF($J$3="",IF($B$24&gt;0,B12/$B$24,0),COMBIN($J$3,A12)*$L$3^A12*(1-$L$3)^($J$3-A12))</f>
        <v/>
      </c>
      <c r="F12">
        <f>IF($B$24&gt;0,B12/$B$24,0)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39551771</v>
      </c>
      <c r="C13" t="n">
        <v>0</v>
      </c>
      <c r="D13">
        <f>C13/$H$3</f>
        <v/>
      </c>
      <c r="E13">
        <f>IF($J$3="",IF($B$24&gt;0,B13/$B$24,0),COMBIN($J$3,A13)*$L$3^A13*(1-$L$3)^($J$3-A13))</f>
        <v/>
      </c>
      <c r="F13">
        <f>IF($B$24&gt;0,B13/$B$24,0)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87285354</v>
      </c>
      <c r="C14" t="n">
        <v>0</v>
      </c>
      <c r="D14">
        <f>C14/$H$3</f>
        <v/>
      </c>
      <c r="E14">
        <f>IF($J$3="",IF($B$24&gt;0,B14/$B$24,0),COMBIN($J$3,A14)*$L$3^A14*(1-$L$3)^($J$3-A14))</f>
        <v/>
      </c>
      <c r="F14">
        <f>IF($B$24&gt;0,B14/$B$24,0)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149820881</v>
      </c>
      <c r="C15" t="n">
        <v>0</v>
      </c>
      <c r="D15">
        <f>C15/$H$3</f>
        <v/>
      </c>
      <c r="E15">
        <f>IF($J$3="",IF($B$24&gt;0,B15/$B$24,0),COMBIN($J$3,A15)*$L$3^A15*(1-$L$3)^($J$3-A15))</f>
        <v/>
      </c>
      <c r="F15">
        <f>IF($B$24&gt;0,B15/$B$24,0)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200013288</v>
      </c>
      <c r="C16" t="n">
        <v>0</v>
      </c>
      <c r="D16">
        <f>C16/$H$3</f>
        <v/>
      </c>
      <c r="E16">
        <f>IF($J$3="",IF($B$24&gt;0,B16/$B$24,0),COMBIN($J$3,A16)*$L$3^A16*(1-$L$3)^($J$3-A16))</f>
        <v/>
      </c>
      <c r="F16">
        <f>IF($B$24&gt;0,B16/$B$24,0)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205987596</v>
      </c>
      <c r="C17" t="n">
        <v>2</v>
      </c>
      <c r="D17">
        <f>C17/$H$3</f>
        <v/>
      </c>
      <c r="E17">
        <f>IF($J$3="",IF($B$24&gt;0,B17/$B$24,0),COMBIN($J$3,A17)*$L$3^A17*(1-$L$3)^($J$3-A17))</f>
        <v/>
      </c>
      <c r="F17">
        <f>IF($B$24&gt;0,B17/$B$24,0)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160712390</v>
      </c>
      <c r="C18" t="n">
        <v>33</v>
      </c>
      <c r="D18">
        <f>C18/$H$3</f>
        <v/>
      </c>
      <c r="E18">
        <f>IF($J$3="",IF($B$24&gt;0,B18/$B$24,0),COMBIN($J$3,A18)*$L$3^A18*(1-$L$3)^($J$3-A18))</f>
        <v/>
      </c>
      <c r="F18">
        <f>IF($B$24&gt;0,B18/$B$24,0)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91951555</v>
      </c>
      <c r="C19" t="n">
        <v>690</v>
      </c>
      <c r="D19">
        <f>C19/$H$3</f>
        <v/>
      </c>
      <c r="E19">
        <f>IF($J$3="",IF($B$24&gt;0,B19/$B$24,0),COMBIN($J$3,A19)*$L$3^A19*(1-$L$3)^($J$3-A19))</f>
        <v/>
      </c>
      <c r="F19">
        <f>IF($B$24&gt;0,B19/$B$24,0)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36422349</v>
      </c>
      <c r="C20" t="n">
        <v>14301</v>
      </c>
      <c r="D20">
        <f>C20/$H$3</f>
        <v/>
      </c>
      <c r="E20">
        <f>IF($J$3="",IF($B$24&gt;0,B20/$B$24,0),COMBIN($J$3,A20)*$L$3^A20*(1-$L$3)^($J$3-A20))</f>
        <v/>
      </c>
      <c r="F20">
        <f>IF($B$24&gt;0,B20/$B$24,0)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8931016</v>
      </c>
      <c r="C21" t="n">
        <v>296273</v>
      </c>
      <c r="D21">
        <f>C21/$H$3</f>
        <v/>
      </c>
      <c r="E21">
        <f>IF($J$3="",IF($B$24&gt;0,B21/$B$24,0),COMBIN($J$3,A21)*$L$3^A21*(1-$L$3)^($J$3-A21))</f>
        <v/>
      </c>
      <c r="F21">
        <f>IF($B$24&gt;0,B21/$B$24,0)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1021977</v>
      </c>
      <c r="C22" t="n">
        <v>6138000</v>
      </c>
      <c r="D22">
        <f>C22/$H$3</f>
        <v/>
      </c>
      <c r="E22">
        <f>IF($J$3="",IF($B$24&gt;0,B22/$B$24,0),COMBIN($J$3,A22)*$L$3^A22*(1-$L$3)^($J$3-A22))</f>
        <v/>
      </c>
      <c r="F22">
        <f>IF($B$24&gt;0,B22/$B$24,0)</f>
        <v/>
      </c>
      <c r="G22">
        <f>E22-F22</f>
        <v/>
      </c>
      <c r="H22">
        <f>D22*E22</f>
        <v/>
      </c>
      <c r="I22">
        <f>I21+E22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MAX(ABS(G7:G22))</f>
        <v/>
      </c>
      <c r="H24">
        <f>SUM(H7:H22)</f>
        <v/>
      </c>
      <c r="I24">
        <f>IF($B$3&gt;0,H24/$B$3,0)</f>
        <v/>
      </c>
      <c r="J24">
        <f>IF($D$3="","N/A",ABS(I24-$D$3)&lt;=$F$3)</f>
        <v/>
      </c>
    </row>
    <row r="25">
      <c r="A25" t="inlineStr">
        <is>
          <t>rtp_drift</t>
        </is>
      </c>
      <c r="B25">
        <f>IF($D$3="","",I24-$D$3)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buy100_high_16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16</v>
      </c>
      <c r="K3" t="inlineStr">
        <is>
          <t>p_right</t>
        </is>
      </c>
      <c r="L3" t="n">
        <v>0.60959782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291</v>
      </c>
      <c r="C7" t="n">
        <v>0</v>
      </c>
      <c r="D7">
        <f>C7/$H$3</f>
        <v/>
      </c>
      <c r="E7">
        <f>IF($J$3="",IF($B$25&gt;0,B7/$B$25,0),COMBIN($J$3,A7)*$L$3^A7*(1-$L$3)^($J$3-A7))</f>
        <v/>
      </c>
      <c r="F7">
        <f>IF($B$25&gt;0,B7/$B$25,0)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7275</v>
      </c>
      <c r="C8" t="n">
        <v>0</v>
      </c>
      <c r="D8">
        <f>C8/$H$3</f>
        <v/>
      </c>
      <c r="E8">
        <f>IF($J$3="",IF($B$25&gt;0,B8/$B$25,0),COMBIN($J$3,A8)*$L$3^A8*(1-$L$3)^($J$3-A8))</f>
        <v/>
      </c>
      <c r="F8">
        <f>IF($B$25&gt;0,B8/$B$25,0)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85200</v>
      </c>
      <c r="C9" t="n">
        <v>0</v>
      </c>
      <c r="D9">
        <f>C9/$H$3</f>
        <v/>
      </c>
      <c r="E9">
        <f>IF($J$3="",IF($B$25&gt;0,B9/$B$25,0),COMBIN($J$3,A9)*$L$3^A9*(1-$L$3)^($J$3-A9))</f>
        <v/>
      </c>
      <c r="F9">
        <f>IF($B$25&gt;0,B9/$B$25,0)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620837</v>
      </c>
      <c r="C10" t="n">
        <v>0</v>
      </c>
      <c r="D10">
        <f>C10/$H$3</f>
        <v/>
      </c>
      <c r="E10">
        <f>IF($J$3="",IF($B$25&gt;0,B10/$B$25,0),COMBIN($J$3,A10)*$L$3^A10*(1-$L$3)^($J$3-A10))</f>
        <v/>
      </c>
      <c r="F10">
        <f>IF($B$25&gt;0,B10/$B$25,0)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3150589</v>
      </c>
      <c r="C11" t="n">
        <v>0</v>
      </c>
      <c r="D11">
        <f>C11/$H$3</f>
        <v/>
      </c>
      <c r="E11">
        <f>IF($J$3="",IF($B$25&gt;0,B11/$B$25,0),COMBIN($J$3,A11)*$L$3^A11*(1-$L$3)^($J$3-A11))</f>
        <v/>
      </c>
      <c r="F11">
        <f>IF($B$25&gt;0,B11/$B$25,0)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11806855</v>
      </c>
      <c r="C12" t="n">
        <v>0</v>
      </c>
      <c r="D12">
        <f>C12/$H$3</f>
        <v/>
      </c>
      <c r="E12">
        <f>IF($J$3="",IF($B$25&gt;0,B12/$B$25,0),COMBIN($J$3,A12)*$L$3^A12*(1-$L$3)^($J$3-A12))</f>
        <v/>
      </c>
      <c r="F12">
        <f>IF($B$25&gt;0,B12/$B$25,0)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33799231</v>
      </c>
      <c r="C13" t="n">
        <v>0</v>
      </c>
      <c r="D13">
        <f>C13/$H$3</f>
        <v/>
      </c>
      <c r="E13">
        <f>IF($J$3="",IF($B$25&gt;0,B13/$B$25,0),COMBIN($J$3,A13)*$L$3^A13*(1-$L$3)^($J$3-A13))</f>
        <v/>
      </c>
      <c r="F13">
        <f>IF($B$25&gt;0,B13/$B$25,0)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75394551</v>
      </c>
      <c r="C14" t="n">
        <v>0</v>
      </c>
      <c r="D14">
        <f>C14/$H$3</f>
        <v/>
      </c>
      <c r="E14">
        <f>IF($J$3="",IF($B$25&gt;0,B14/$B$25,0),COMBIN($J$3,A14)*$L$3^A14*(1-$L$3)^($J$3-A14))</f>
        <v/>
      </c>
      <c r="F14">
        <f>IF($B$25&gt;0,B14/$B$25,0)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132441367</v>
      </c>
      <c r="C15" t="n">
        <v>0</v>
      </c>
      <c r="D15">
        <f>C15/$H$3</f>
        <v/>
      </c>
      <c r="E15">
        <f>IF($J$3="",IF($B$25&gt;0,B15/$B$25,0),COMBIN($J$3,A15)*$L$3^A15*(1-$L$3)^($J$3-A15))</f>
        <v/>
      </c>
      <c r="F15">
        <f>IF($B$25&gt;0,B15/$B$25,0)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183824040</v>
      </c>
      <c r="C16" t="n">
        <v>1</v>
      </c>
      <c r="D16">
        <f>C16/$H$3</f>
        <v/>
      </c>
      <c r="E16">
        <f>IF($J$3="",IF($B$25&gt;0,B16/$B$25,0),COMBIN($J$3,A16)*$L$3^A16*(1-$L$3)^($J$3-A16))</f>
        <v/>
      </c>
      <c r="F16">
        <f>IF($B$25&gt;0,B16/$B$25,0)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200923864</v>
      </c>
      <c r="C17" t="n">
        <v>9</v>
      </c>
      <c r="D17">
        <f>C17/$H$3</f>
        <v/>
      </c>
      <c r="E17">
        <f>IF($J$3="",IF($B$25&gt;0,B17/$B$25,0),COMBIN($J$3,A17)*$L$3^A17*(1-$L$3)^($J$3-A17))</f>
        <v/>
      </c>
      <c r="F17">
        <f>IF($B$25&gt;0,B17/$B$25,0)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171128074</v>
      </c>
      <c r="C18" t="n">
        <v>88</v>
      </c>
      <c r="D18">
        <f>C18/$H$3</f>
        <v/>
      </c>
      <c r="E18">
        <f>IF($J$3="",IF($B$25&gt;0,B18/$B$25,0),COMBIN($J$3,A18)*$L$3^A18*(1-$L$3)^($J$3-A18))</f>
        <v/>
      </c>
      <c r="F18">
        <f>IF($B$25&gt;0,B18/$B$25,0)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111337431</v>
      </c>
      <c r="C19" t="n">
        <v>903</v>
      </c>
      <c r="D19">
        <f>C19/$H$3</f>
        <v/>
      </c>
      <c r="E19">
        <f>IF($J$3="",IF($B$25&gt;0,B19/$B$25,0),COMBIN($J$3,A19)*$L$3^A19*(1-$L$3)^($J$3-A19))</f>
        <v/>
      </c>
      <c r="F19">
        <f>IF($B$25&gt;0,B19/$B$25,0)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53492021</v>
      </c>
      <c r="C20" t="n">
        <v>9238</v>
      </c>
      <c r="D20">
        <f>C20/$H$3</f>
        <v/>
      </c>
      <c r="E20">
        <f>IF($J$3="",IF($B$25&gt;0,B20/$B$25,0),COMBIN($J$3,A20)*$L$3^A20*(1-$L$3)^($J$3-A20))</f>
        <v/>
      </c>
      <c r="F20">
        <f>IF($B$25&gt;0,B20/$B$25,0)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17898367</v>
      </c>
      <c r="C21" t="n">
        <v>94537</v>
      </c>
      <c r="D21">
        <f>C21/$H$3</f>
        <v/>
      </c>
      <c r="E21">
        <f>IF($J$3="",IF($B$25&gt;0,B21/$B$25,0),COMBIN($J$3,A21)*$L$3^A21*(1-$L$3)^($J$3-A21))</f>
        <v/>
      </c>
      <c r="F21">
        <f>IF($B$25&gt;0,B21/$B$25,0)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3726347</v>
      </c>
      <c r="C22" t="n">
        <v>967430</v>
      </c>
      <c r="D22">
        <f>C22/$H$3</f>
        <v/>
      </c>
      <c r="E22">
        <f>IF($J$3="",IF($B$25&gt;0,B22/$B$25,0),COMBIN($J$3,A22)*$L$3^A22*(1-$L$3)^($J$3-A22))</f>
        <v/>
      </c>
      <c r="F22">
        <f>IF($B$25&gt;0,B22/$B$25,0)</f>
        <v/>
      </c>
      <c r="G22">
        <f>E22-F22</f>
        <v/>
      </c>
      <c r="H22">
        <f>D22*E22</f>
        <v/>
      </c>
      <c r="I22">
        <f>I21+E22</f>
        <v/>
      </c>
    </row>
    <row r="23">
      <c r="A23" t="n">
        <v>16</v>
      </c>
      <c r="B23" t="n">
        <v>363653</v>
      </c>
      <c r="C23" t="n">
        <v>9900000</v>
      </c>
      <c r="D23">
        <f>C23/$H$3</f>
        <v/>
      </c>
      <c r="E23">
        <f>IF($J$3="",IF($B$25&gt;0,B23/$B$25,0),COMBIN($J$3,A23)*$L$3^A23*(1-$L$3)^($J$3-A23))</f>
        <v/>
      </c>
      <c r="F23">
        <f>IF($B$25&gt;0,B23/$B$25,0)</f>
        <v/>
      </c>
      <c r="G23">
        <f>E23-F23</f>
        <v/>
      </c>
      <c r="H23">
        <f>D23*E23</f>
        <v/>
      </c>
      <c r="I23">
        <f>I22+E23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MAX(ABS(G7:G23))</f>
        <v/>
      </c>
      <c r="H25">
        <f>SUM(H7:H23)</f>
        <v/>
      </c>
      <c r="I25">
        <f>IF($B$3&gt;0,H25/$B$3,0)</f>
        <v/>
      </c>
      <c r="J25">
        <f>IF($D$3="","N/A",ABS(I25-$D$3)&lt;=$F$3)</f>
        <v/>
      </c>
    </row>
    <row r="26">
      <c r="A26" t="inlineStr">
        <is>
          <t>rtp_drift</t>
        </is>
      </c>
      <c r="B26">
        <f>IF($D$3="","",I25-$D$3)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buy100_high_8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8</v>
      </c>
      <c r="K3" t="inlineStr">
        <is>
          <t>p_right</t>
        </is>
      </c>
      <c r="L3" t="n">
        <v>0.64492461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252676</v>
      </c>
      <c r="C7" t="n">
        <v>0</v>
      </c>
      <c r="D7">
        <f>C7/$H$3</f>
        <v/>
      </c>
      <c r="E7">
        <f>IF($J$3="",IF($B$17&gt;0,B7/$B$17,0),COMBIN($J$3,A7)*$L$3^A7*(1-$L$3)^($J$3-A7))</f>
        <v/>
      </c>
      <c r="F7">
        <f>IF($B$17&gt;0,B7/$B$17,0)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3671495</v>
      </c>
      <c r="C8" t="n">
        <v>0</v>
      </c>
      <c r="D8">
        <f>C8/$H$3</f>
        <v/>
      </c>
      <c r="E8">
        <f>IF($J$3="",IF($B$17&gt;0,B8/$B$17,0),COMBIN($J$3,A8)*$L$3^A8*(1-$L$3)^($J$3-A8))</f>
        <v/>
      </c>
      <c r="F8">
        <f>IF($B$17&gt;0,B8/$B$17,0)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23339919</v>
      </c>
      <c r="C9" t="n">
        <v>0</v>
      </c>
      <c r="D9">
        <f>C9/$H$3</f>
        <v/>
      </c>
      <c r="E9">
        <f>IF($J$3="",IF($B$17&gt;0,B9/$B$17,0),COMBIN($J$3,A9)*$L$3^A9*(1-$L$3)^($J$3-A9))</f>
        <v/>
      </c>
      <c r="F9">
        <f>IF($B$17&gt;0,B9/$B$17,0)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84784746</v>
      </c>
      <c r="C10" t="n">
        <v>0</v>
      </c>
      <c r="D10">
        <f>C10/$H$3</f>
        <v/>
      </c>
      <c r="E10">
        <f>IF($J$3="",IF($B$17&gt;0,B10/$B$17,0),COMBIN($J$3,A10)*$L$3^A10*(1-$L$3)^($J$3-A10))</f>
        <v/>
      </c>
      <c r="F10">
        <f>IF($B$17&gt;0,B10/$B$17,0)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192493523</v>
      </c>
      <c r="C11" t="n">
        <v>0</v>
      </c>
      <c r="D11">
        <f>C11/$H$3</f>
        <v/>
      </c>
      <c r="E11">
        <f>IF($J$3="",IF($B$17&gt;0,B11/$B$17,0),COMBIN($J$3,A11)*$L$3^A11*(1-$L$3)^($J$3-A11))</f>
        <v/>
      </c>
      <c r="F11">
        <f>IF($B$17&gt;0,B11/$B$17,0)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279701305</v>
      </c>
      <c r="C12" t="n">
        <v>4</v>
      </c>
      <c r="D12">
        <f>C12/$H$3</f>
        <v/>
      </c>
      <c r="E12">
        <f>IF($J$3="",IF($B$17&gt;0,B12/$B$17,0),COMBIN($J$3,A12)*$L$3^A12*(1-$L$3)^($J$3-A12))</f>
        <v/>
      </c>
      <c r="F12">
        <f>IF($B$17&gt;0,B12/$B$17,0)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254011209</v>
      </c>
      <c r="C13" t="n">
        <v>154</v>
      </c>
      <c r="D13">
        <f>C13/$H$3</f>
        <v/>
      </c>
      <c r="E13">
        <f>IF($J$3="",IF($B$17&gt;0,B13/$B$17,0),COMBIN($J$3,A13)*$L$3^A13*(1-$L$3)^($J$3-A13))</f>
        <v/>
      </c>
      <c r="F13">
        <f>IF($B$17&gt;0,B13/$B$17,0)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131817546</v>
      </c>
      <c r="C14" t="n">
        <v>6650</v>
      </c>
      <c r="D14">
        <f>C14/$H$3</f>
        <v/>
      </c>
      <c r="E14">
        <f>IF($J$3="",IF($B$17&gt;0,B14/$B$17,0),COMBIN($J$3,A14)*$L$3^A14*(1-$L$3)^($J$3-A14))</f>
        <v/>
      </c>
      <c r="F14">
        <f>IF($B$17&gt;0,B14/$B$17,0)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29927287</v>
      </c>
      <c r="C15" t="n">
        <v>287100</v>
      </c>
      <c r="D15">
        <f>C15/$H$3</f>
        <v/>
      </c>
      <c r="E15">
        <f>IF($J$3="",IF($B$17&gt;0,B15/$B$17,0),COMBIN($J$3,A15)*$L$3^A15*(1-$L$3)^($J$3-A15))</f>
        <v/>
      </c>
      <c r="F15">
        <f>IF($B$17&gt;0,B15/$B$17,0)</f>
        <v/>
      </c>
      <c r="G15">
        <f>E15-F15</f>
        <v/>
      </c>
      <c r="H15">
        <f>D15*E15</f>
        <v/>
      </c>
      <c r="I15">
        <f>I14+E15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MAX(ABS(G7:G15))</f>
        <v/>
      </c>
      <c r="H17">
        <f>SUM(H7:H15)</f>
        <v/>
      </c>
      <c r="I17">
        <f>IF($B$3&gt;0,H17/$B$3,0)</f>
        <v/>
      </c>
      <c r="J17">
        <f>IF($D$3="","N/A",ABS(I17-$D$3)&lt;=$F$3)</f>
        <v/>
      </c>
    </row>
    <row r="18">
      <c r="A18" t="inlineStr">
        <is>
          <t>rtp_drift</t>
        </is>
      </c>
      <c r="B18">
        <f>IF($D$3="","",I17-$D$3)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buy100_high_9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9</v>
      </c>
      <c r="K3" t="inlineStr">
        <is>
          <t>p_right</t>
        </is>
      </c>
      <c r="L3" t="n">
        <v>0.64806741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82820</v>
      </c>
      <c r="C7" t="n">
        <v>0</v>
      </c>
      <c r="D7">
        <f>C7/$H$3</f>
        <v/>
      </c>
      <c r="E7">
        <f>IF($J$3="",IF($B$18&gt;0,B7/$B$18,0),COMBIN($J$3,A7)*$L$3^A7*(1-$L$3)^($J$3-A7))</f>
        <v/>
      </c>
      <c r="F7">
        <f>IF($B$18&gt;0,B7/$B$18,0)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1372583</v>
      </c>
      <c r="C8" t="n">
        <v>0</v>
      </c>
      <c r="D8">
        <f>C8/$H$3</f>
        <v/>
      </c>
      <c r="E8">
        <f>IF($J$3="",IF($B$18&gt;0,B8/$B$18,0),COMBIN($J$3,A8)*$L$3^A8*(1-$L$3)^($J$3-A8))</f>
        <v/>
      </c>
      <c r="F8">
        <f>IF($B$18&gt;0,B8/$B$18,0)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10110190</v>
      </c>
      <c r="C9" t="n">
        <v>0</v>
      </c>
      <c r="D9">
        <f>C9/$H$3</f>
        <v/>
      </c>
      <c r="E9">
        <f>IF($J$3="",IF($B$18&gt;0,B9/$B$18,0),COMBIN($J$3,A9)*$L$3^A9*(1-$L$3)^($J$3-A9))</f>
        <v/>
      </c>
      <c r="F9">
        <f>IF($B$18&gt;0,B9/$B$18,0)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43440696</v>
      </c>
      <c r="C10" t="n">
        <v>0</v>
      </c>
      <c r="D10">
        <f>C10/$H$3</f>
        <v/>
      </c>
      <c r="E10">
        <f>IF($J$3="",IF($B$18&gt;0,B10/$B$18,0),COMBIN($J$3,A10)*$L$3^A10*(1-$L$3)^($J$3-A10))</f>
        <v/>
      </c>
      <c r="F10">
        <f>IF($B$18&gt;0,B10/$B$18,0)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119991013</v>
      </c>
      <c r="C11" t="n">
        <v>0</v>
      </c>
      <c r="D11">
        <f>C11/$H$3</f>
        <v/>
      </c>
      <c r="E11">
        <f>IF($J$3="",IF($B$18&gt;0,B11/$B$18,0),COMBIN($J$3,A11)*$L$3^A11*(1-$L$3)^($J$3-A11))</f>
        <v/>
      </c>
      <c r="F11">
        <f>IF($B$18&gt;0,B11/$B$18,0)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220957835</v>
      </c>
      <c r="C12" t="n">
        <v>0</v>
      </c>
      <c r="D12">
        <f>C12/$H$3</f>
        <v/>
      </c>
      <c r="E12">
        <f>IF($J$3="",IF($B$18&gt;0,B12/$B$18,0),COMBIN($J$3,A12)*$L$3^A12*(1-$L$3)^($J$3-A12))</f>
        <v/>
      </c>
      <c r="F12">
        <f>IF($B$18&gt;0,B12/$B$18,0)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271255676</v>
      </c>
      <c r="C13" t="n">
        <v>4</v>
      </c>
      <c r="D13">
        <f>C13/$H$3</f>
        <v/>
      </c>
      <c r="E13">
        <f>IF($J$3="",IF($B$18&gt;0,B13/$B$18,0),COMBIN($J$3,A13)*$L$3^A13*(1-$L$3)^($J$3-A13))</f>
        <v/>
      </c>
      <c r="F13">
        <f>IF($B$18&gt;0,B13/$B$18,0)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214073415</v>
      </c>
      <c r="C14" t="n">
        <v>189</v>
      </c>
      <c r="D14">
        <f>C14/$H$3</f>
        <v/>
      </c>
      <c r="E14">
        <f>IF($J$3="",IF($B$18&gt;0,B14/$B$18,0),COMBIN($J$3,A14)*$L$3^A14*(1-$L$3)^($J$3-A14))</f>
        <v/>
      </c>
      <c r="F14">
        <f>IF($B$18&gt;0,B14/$B$18,0)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98551544</v>
      </c>
      <c r="C15" t="n">
        <v>8965</v>
      </c>
      <c r="D15">
        <f>C15/$H$3</f>
        <v/>
      </c>
      <c r="E15">
        <f>IF($J$3="",IF($B$18&gt;0,B15/$B$18,0),COMBIN($J$3,A15)*$L$3^A15*(1-$L$3)^($J$3-A15))</f>
        <v/>
      </c>
      <c r="F15">
        <f>IF($B$18&gt;0,B15/$B$18,0)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20164177</v>
      </c>
      <c r="C16" t="n">
        <v>425700</v>
      </c>
      <c r="D16">
        <f>C16/$H$3</f>
        <v/>
      </c>
      <c r="E16">
        <f>IF($J$3="",IF($B$18&gt;0,B16/$B$18,0),COMBIN($J$3,A16)*$L$3^A16*(1-$L$3)^($J$3-A16))</f>
        <v/>
      </c>
      <c r="F16">
        <f>IF($B$18&gt;0,B16/$B$18,0)</f>
        <v/>
      </c>
      <c r="G16">
        <f>E16-F16</f>
        <v/>
      </c>
      <c r="H16">
        <f>D16*E16</f>
        <v/>
      </c>
      <c r="I16">
        <f>I15+E16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MAX(ABS(G7:G16))</f>
        <v/>
      </c>
      <c r="H18">
        <f>SUM(H7:H16)</f>
        <v/>
      </c>
      <c r="I18">
        <f>IF($B$3&gt;0,H18/$B$3,0)</f>
        <v/>
      </c>
      <c r="J18">
        <f>IF($D$3="","N/A",ABS(I18-$D$3)&lt;=$F$3)</f>
        <v/>
      </c>
    </row>
    <row r="19">
      <c r="A19" t="inlineStr">
        <is>
          <t>rtp_drift</t>
        </is>
      </c>
      <c r="B19">
        <f>IF($D$3="","",I18-$D$3)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buy100_low_10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10</v>
      </c>
      <c r="K3" t="inlineStr">
        <is>
          <t>p_right</t>
        </is>
      </c>
      <c r="L3" t="n">
        <v>0.6788888199999999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11656</v>
      </c>
      <c r="C7" t="n">
        <v>5</v>
      </c>
      <c r="D7">
        <f>C7/$H$3</f>
        <v/>
      </c>
      <c r="E7">
        <f>IF($J$3="",IF($B$19&gt;0,B7/$B$19,0),COMBIN($J$3,A7)*$L$3^A7*(1-$L$3)^($J$3-A7))</f>
        <v/>
      </c>
      <c r="F7">
        <f>IF($B$19&gt;0,B7/$B$19,0)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246432</v>
      </c>
      <c r="C8" t="n">
        <v>14</v>
      </c>
      <c r="D8">
        <f>C8/$H$3</f>
        <v/>
      </c>
      <c r="E8">
        <f>IF($J$3="",IF($B$19&gt;0,B8/$B$19,0),COMBIN($J$3,A8)*$L$3^A8*(1-$L$3)^($J$3-A8))</f>
        <v/>
      </c>
      <c r="F8">
        <f>IF($B$19&gt;0,B8/$B$19,0)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2344516</v>
      </c>
      <c r="C9" t="n">
        <v>37</v>
      </c>
      <c r="D9">
        <f>C9/$H$3</f>
        <v/>
      </c>
      <c r="E9">
        <f>IF($J$3="",IF($B$19&gt;0,B9/$B$19,0),COMBIN($J$3,A9)*$L$3^A9*(1-$L$3)^($J$3-A9))</f>
        <v/>
      </c>
      <c r="F9">
        <f>IF($B$19&gt;0,B9/$B$19,0)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13217984</v>
      </c>
      <c r="C10" t="n">
        <v>98</v>
      </c>
      <c r="D10">
        <f>C10/$H$3</f>
        <v/>
      </c>
      <c r="E10">
        <f>IF($J$3="",IF($B$19&gt;0,B10/$B$19,0),COMBIN($J$3,A10)*$L$3^A10*(1-$L$3)^($J$3-A10))</f>
        <v/>
      </c>
      <c r="F10">
        <f>IF($B$19&gt;0,B10/$B$19,0)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48904239</v>
      </c>
      <c r="C11" t="n">
        <v>259</v>
      </c>
      <c r="D11">
        <f>C11/$H$3</f>
        <v/>
      </c>
      <c r="E11">
        <f>IF($J$3="",IF($B$19&gt;0,B11/$B$19,0),COMBIN($J$3,A11)*$L$3^A11*(1-$L$3)^($J$3-A11))</f>
        <v/>
      </c>
      <c r="F11">
        <f>IF($B$19&gt;0,B11/$B$19,0)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124071197</v>
      </c>
      <c r="C12" t="n">
        <v>684</v>
      </c>
      <c r="D12">
        <f>C12/$H$3</f>
        <v/>
      </c>
      <c r="E12">
        <f>IF($J$3="",IF($B$19&gt;0,B12/$B$19,0),COMBIN($J$3,A12)*$L$3^A12*(1-$L$3)^($J$3-A12))</f>
        <v/>
      </c>
      <c r="F12">
        <f>IF($B$19&gt;0,B12/$B$19,0)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218591337</v>
      </c>
      <c r="C13" t="n">
        <v>1807</v>
      </c>
      <c r="D13">
        <f>C13/$H$3</f>
        <v/>
      </c>
      <c r="E13">
        <f>IF($J$3="",IF($B$19&gt;0,B13/$B$19,0),COMBIN($J$3,A13)*$L$3^A13*(1-$L$3)^($J$3-A13))</f>
        <v/>
      </c>
      <c r="F13">
        <f>IF($B$19&gt;0,B13/$B$19,0)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264081587</v>
      </c>
      <c r="C14" t="n">
        <v>4775</v>
      </c>
      <c r="D14">
        <f>C14/$H$3</f>
        <v/>
      </c>
      <c r="E14">
        <f>IF($J$3="",IF($B$19&gt;0,B14/$B$19,0),COMBIN($J$3,A14)*$L$3^A14*(1-$L$3)^($J$3-A14))</f>
        <v/>
      </c>
      <c r="F14">
        <f>IF($B$19&gt;0,B14/$B$19,0)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209369112</v>
      </c>
      <c r="C15" t="n">
        <v>12618</v>
      </c>
      <c r="D15">
        <f>C15/$H$3</f>
        <v/>
      </c>
      <c r="E15">
        <f>IF($J$3="",IF($B$19&gt;0,B15/$B$19,0),COMBIN($J$3,A15)*$L$3^A15*(1-$L$3)^($J$3-A15))</f>
        <v/>
      </c>
      <c r="F15">
        <f>IF($B$19&gt;0,B15/$B$19,0)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98365617</v>
      </c>
      <c r="C16" t="n">
        <v>33343</v>
      </c>
      <c r="D16">
        <f>C16/$H$3</f>
        <v/>
      </c>
      <c r="E16">
        <f>IF($J$3="",IF($B$19&gt;0,B16/$B$19,0),COMBIN($J$3,A16)*$L$3^A16*(1-$L$3)^($J$3-A16))</f>
        <v/>
      </c>
      <c r="F16">
        <f>IF($B$19&gt;0,B16/$B$19,0)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20797101</v>
      </c>
      <c r="C17" t="n">
        <v>88110</v>
      </c>
      <c r="D17">
        <f>C17/$H$3</f>
        <v/>
      </c>
      <c r="E17">
        <f>IF($J$3="",IF($B$19&gt;0,B17/$B$19,0),COMBIN($J$3,A17)*$L$3^A17*(1-$L$3)^($J$3-A17))</f>
        <v/>
      </c>
      <c r="F17">
        <f>IF($B$19&gt;0,B17/$B$19,0)</f>
        <v/>
      </c>
      <c r="G17">
        <f>E17-F17</f>
        <v/>
      </c>
      <c r="H17">
        <f>D17*E17</f>
        <v/>
      </c>
      <c r="I17">
        <f>I16+E17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MAX(ABS(G7:G17))</f>
        <v/>
      </c>
      <c r="H19">
        <f>SUM(H7:H17)</f>
        <v/>
      </c>
      <c r="I19">
        <f>IF($B$3&gt;0,H19/$B$3,0)</f>
        <v/>
      </c>
      <c r="J19">
        <f>IF($D$3="","N/A",ABS(I19-$D$3)&lt;=$F$3)</f>
        <v/>
      </c>
    </row>
    <row r="20">
      <c r="A20" t="inlineStr">
        <is>
          <t>rtp_drift</t>
        </is>
      </c>
      <c r="B20">
        <f>IF($D$3="","",I19-$D$3)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buy100_low_11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11</v>
      </c>
      <c r="K3" t="inlineStr">
        <is>
          <t>p_right</t>
        </is>
      </c>
      <c r="L3" t="n">
        <v>0.71448555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1028</v>
      </c>
      <c r="C7" t="n">
        <v>2</v>
      </c>
      <c r="D7">
        <f>C7/$H$3</f>
        <v/>
      </c>
      <c r="E7">
        <f>IF($J$3="",IF($B$20&gt;0,B7/$B$20,0),COMBIN($J$3,A7)*$L$3^A7*(1-$L$3)^($J$3-A7))</f>
        <v/>
      </c>
      <c r="F7">
        <f>IF($B$20&gt;0,B7/$B$20,0)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28292</v>
      </c>
      <c r="C8" t="n">
        <v>4</v>
      </c>
      <c r="D8">
        <f>C8/$H$3</f>
        <v/>
      </c>
      <c r="E8">
        <f>IF($J$3="",IF($B$20&gt;0,B8/$B$20,0),COMBIN($J$3,A8)*$L$3^A8*(1-$L$3)^($J$3-A8))</f>
        <v/>
      </c>
      <c r="F8">
        <f>IF($B$20&gt;0,B8/$B$20,0)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353999</v>
      </c>
      <c r="C9" t="n">
        <v>12</v>
      </c>
      <c r="D9">
        <f>C9/$H$3</f>
        <v/>
      </c>
      <c r="E9">
        <f>IF($J$3="",IF($B$20&gt;0,B9/$B$20,0),COMBIN($J$3,A9)*$L$3^A9*(1-$L$3)^($J$3-A9))</f>
        <v/>
      </c>
      <c r="F9">
        <f>IF($B$20&gt;0,B9/$B$20,0)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2657597</v>
      </c>
      <c r="C10" t="n">
        <v>31</v>
      </c>
      <c r="D10">
        <f>C10/$H$3</f>
        <v/>
      </c>
      <c r="E10">
        <f>IF($J$3="",IF($B$20&gt;0,B10/$B$20,0),COMBIN($J$3,A10)*$L$3^A10*(1-$L$3)^($J$3-A10))</f>
        <v/>
      </c>
      <c r="F10">
        <f>IF($B$20&gt;0,B10/$B$20,0)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13301004</v>
      </c>
      <c r="C11" t="n">
        <v>84</v>
      </c>
      <c r="D11">
        <f>C11/$H$3</f>
        <v/>
      </c>
      <c r="E11">
        <f>IF($J$3="",IF($B$20&gt;0,B11/$B$20,0),COMBIN($J$3,A11)*$L$3^A11*(1-$L$3)^($J$3-A11))</f>
        <v/>
      </c>
      <c r="F11">
        <f>IF($B$20&gt;0,B11/$B$20,0)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46599130</v>
      </c>
      <c r="C12" t="n">
        <v>225</v>
      </c>
      <c r="D12">
        <f>C12/$H$3</f>
        <v/>
      </c>
      <c r="E12">
        <f>IF($J$3="",IF($B$20&gt;0,B12/$B$20,0),COMBIN($J$3,A12)*$L$3^A12*(1-$L$3)^($J$3-A12))</f>
        <v/>
      </c>
      <c r="F12">
        <f>IF($B$20&gt;0,B12/$B$20,0)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116611977</v>
      </c>
      <c r="C13" t="n">
        <v>603</v>
      </c>
      <c r="D13">
        <f>C13/$H$3</f>
        <v/>
      </c>
      <c r="E13">
        <f>IF($J$3="",IF($B$20&gt;0,B13/$B$20,0),COMBIN($J$3,A13)*$L$3^A13*(1-$L$3)^($J$3-A13))</f>
        <v/>
      </c>
      <c r="F13">
        <f>IF($B$20&gt;0,B13/$B$20,0)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208439715</v>
      </c>
      <c r="C14" t="n">
        <v>1615</v>
      </c>
      <c r="D14">
        <f>C14/$H$3</f>
        <v/>
      </c>
      <c r="E14">
        <f>IF($J$3="",IF($B$20&gt;0,B14/$B$20,0),COMBIN($J$3,A14)*$L$3^A14*(1-$L$3)^($J$3-A14))</f>
        <v/>
      </c>
      <c r="F14">
        <f>IF($B$20&gt;0,B14/$B$20,0)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260804945</v>
      </c>
      <c r="C15" t="n">
        <v>4327</v>
      </c>
      <c r="D15">
        <f>C15/$H$3</f>
        <v/>
      </c>
      <c r="E15">
        <f>IF($J$3="",IF($B$20&gt;0,B15/$B$20,0),COMBIN($J$3,A15)*$L$3^A15*(1-$L$3)^($J$3-A15))</f>
        <v/>
      </c>
      <c r="F15">
        <f>IF($B$20&gt;0,B15/$B$20,0)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217550413</v>
      </c>
      <c r="C16" t="n">
        <v>11590</v>
      </c>
      <c r="D16">
        <f>C16/$H$3</f>
        <v/>
      </c>
      <c r="E16">
        <f>IF($J$3="",IF($B$20&gt;0,B16/$B$20,0),COMBIN($J$3,A16)*$L$3^A16*(1-$L$3)^($J$3-A16))</f>
        <v/>
      </c>
      <c r="F16">
        <f>IF($B$20&gt;0,B16/$B$20,0)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108881791</v>
      </c>
      <c r="C17" t="n">
        <v>31046</v>
      </c>
      <c r="D17">
        <f>C17/$H$3</f>
        <v/>
      </c>
      <c r="E17">
        <f>IF($J$3="",IF($B$20&gt;0,B17/$B$20,0),COMBIN($J$3,A17)*$L$3^A17*(1-$L$3)^($J$3-A17))</f>
        <v/>
      </c>
      <c r="F17">
        <f>IF($B$20&gt;0,B17/$B$20,0)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24772490</v>
      </c>
      <c r="C18" t="n">
        <v>83160</v>
      </c>
      <c r="D18">
        <f>C18/$H$3</f>
        <v/>
      </c>
      <c r="E18">
        <f>IF($J$3="",IF($B$20&gt;0,B18/$B$20,0),COMBIN($J$3,A18)*$L$3^A18*(1-$L$3)^($J$3-A18))</f>
        <v/>
      </c>
      <c r="F18">
        <f>IF($B$20&gt;0,B18/$B$20,0)</f>
        <v/>
      </c>
      <c r="G18">
        <f>E18-F18</f>
        <v/>
      </c>
      <c r="H18">
        <f>D18*E18</f>
        <v/>
      </c>
      <c r="I18">
        <f>I17+E18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MAX(ABS(G7:G18))</f>
        <v/>
      </c>
      <c r="H20">
        <f>SUM(H7:H18)</f>
        <v/>
      </c>
      <c r="I20">
        <f>IF($B$3&gt;0,H20/$B$3,0)</f>
        <v/>
      </c>
      <c r="J20">
        <f>IF($D$3="","N/A",ABS(I20-$D$3)&lt;=$F$3)</f>
        <v/>
      </c>
    </row>
    <row r="21">
      <c r="A21" t="inlineStr">
        <is>
          <t>rtp_drift</t>
        </is>
      </c>
      <c r="B21">
        <f>IF($D$3="","",I20-$D$3)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buy100_low_12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12</v>
      </c>
      <c r="K3" t="inlineStr">
        <is>
          <t>p_right</t>
        </is>
      </c>
      <c r="L3" t="n">
        <v>0.69989846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534</v>
      </c>
      <c r="C7" t="n">
        <v>2</v>
      </c>
      <c r="D7">
        <f>C7/$H$3</f>
        <v/>
      </c>
      <c r="E7">
        <f>IF($J$3="",IF($B$21&gt;0,B7/$B$21,0),COMBIN($J$3,A7)*$L$3^A7*(1-$L$3)^($J$3-A7))</f>
        <v/>
      </c>
      <c r="F7">
        <f>IF($B$21&gt;0,B7/$B$21,0)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14934</v>
      </c>
      <c r="C8" t="n">
        <v>5</v>
      </c>
      <c r="D8">
        <f>C8/$H$3</f>
        <v/>
      </c>
      <c r="E8">
        <f>IF($J$3="",IF($B$21&gt;0,B8/$B$21,0),COMBIN($J$3,A8)*$L$3^A8*(1-$L$3)^($J$3-A8))</f>
        <v/>
      </c>
      <c r="F8">
        <f>IF($B$21&gt;0,B8/$B$21,0)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191556</v>
      </c>
      <c r="C9" t="n">
        <v>13</v>
      </c>
      <c r="D9">
        <f>C9/$H$3</f>
        <v/>
      </c>
      <c r="E9">
        <f>IF($J$3="",IF($B$21&gt;0,B9/$B$21,0),COMBIN($J$3,A9)*$L$3^A9*(1-$L$3)^($J$3-A9))</f>
        <v/>
      </c>
      <c r="F9">
        <f>IF($B$21&gt;0,B9/$B$21,0)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1489162</v>
      </c>
      <c r="C10" t="n">
        <v>32</v>
      </c>
      <c r="D10">
        <f>C10/$H$3</f>
        <v/>
      </c>
      <c r="E10">
        <f>IF($J$3="",IF($B$21&gt;0,B10/$B$21,0),COMBIN($J$3,A10)*$L$3^A10*(1-$L$3)^($J$3-A10))</f>
        <v/>
      </c>
      <c r="F10">
        <f>IF($B$21&gt;0,B10/$B$21,0)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7814319</v>
      </c>
      <c r="C11" t="n">
        <v>78</v>
      </c>
      <c r="D11">
        <f>C11/$H$3</f>
        <v/>
      </c>
      <c r="E11">
        <f>IF($J$3="",IF($B$21&gt;0,B11/$B$21,0),COMBIN($J$3,A11)*$L$3^A11*(1-$L$3)^($J$3-A11))</f>
        <v/>
      </c>
      <c r="F11">
        <f>IF($B$21&gt;0,B11/$B$21,0)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29159357</v>
      </c>
      <c r="C12" t="n">
        <v>190</v>
      </c>
      <c r="D12">
        <f>C12/$H$3</f>
        <v/>
      </c>
      <c r="E12">
        <f>IF($J$3="",IF($B$21&gt;0,B12/$B$21,0),COMBIN($J$3,A12)*$L$3^A12*(1-$L$3)^($J$3-A12))</f>
        <v/>
      </c>
      <c r="F12">
        <f>IF($B$21&gt;0,B12/$B$21,0)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79339882</v>
      </c>
      <c r="C13" t="n">
        <v>463</v>
      </c>
      <c r="D13">
        <f>C13/$H$3</f>
        <v/>
      </c>
      <c r="E13">
        <f>IF($J$3="",IF($B$21&gt;0,B13/$B$21,0),COMBIN($J$3,A13)*$L$3^A13*(1-$L$3)^($J$3-A13))</f>
        <v/>
      </c>
      <c r="F13">
        <f>IF($B$21&gt;0,B13/$B$21,0)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158603063</v>
      </c>
      <c r="C14" t="n">
        <v>1133</v>
      </c>
      <c r="D14">
        <f>C14/$H$3</f>
        <v/>
      </c>
      <c r="E14">
        <f>IF($J$3="",IF($B$21&gt;0,B14/$B$21,0),COMBIN($J$3,A14)*$L$3^A14*(1-$L$3)^($J$3-A14))</f>
        <v/>
      </c>
      <c r="F14">
        <f>IF($B$21&gt;0,B14/$B$21,0)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231184333</v>
      </c>
      <c r="C15" t="n">
        <v>2770</v>
      </c>
      <c r="D15">
        <f>C15/$H$3</f>
        <v/>
      </c>
      <c r="E15">
        <f>IF($J$3="",IF($B$21&gt;0,B15/$B$21,0),COMBIN($J$3,A15)*$L$3^A15*(1-$L$3)^($J$3-A15))</f>
        <v/>
      </c>
      <c r="F15">
        <f>IF($B$21&gt;0,B15/$B$21,0)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239630830</v>
      </c>
      <c r="C16" t="n">
        <v>6773</v>
      </c>
      <c r="D16">
        <f>C16/$H$3</f>
        <v/>
      </c>
      <c r="E16">
        <f>IF($J$3="",IF($B$21&gt;0,B16/$B$21,0),COMBIN($J$3,A16)*$L$3^A16*(1-$L$3)^($J$3-A16))</f>
        <v/>
      </c>
      <c r="F16">
        <f>IF($B$21&gt;0,B16/$B$21,0)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167660500</v>
      </c>
      <c r="C17" t="n">
        <v>16560</v>
      </c>
      <c r="D17">
        <f>C17/$H$3</f>
        <v/>
      </c>
      <c r="E17">
        <f>IF($J$3="",IF($B$21&gt;0,B17/$B$21,0),COMBIN($J$3,A17)*$L$3^A17*(1-$L$3)^($J$3-A17))</f>
        <v/>
      </c>
      <c r="F17">
        <f>IF($B$21&gt;0,B17/$B$21,0)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71094316</v>
      </c>
      <c r="C18" t="n">
        <v>40490</v>
      </c>
      <c r="D18">
        <f>C18/$H$3</f>
        <v/>
      </c>
      <c r="E18">
        <f>IF($J$3="",IF($B$21&gt;0,B18/$B$21,0),COMBIN($J$3,A18)*$L$3^A18*(1-$L$3)^($J$3-A18))</f>
        <v/>
      </c>
      <c r="F18">
        <f>IF($B$21&gt;0,B18/$B$21,0)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13816624</v>
      </c>
      <c r="C19" t="n">
        <v>99000</v>
      </c>
      <c r="D19">
        <f>C19/$H$3</f>
        <v/>
      </c>
      <c r="E19">
        <f>IF($J$3="",IF($B$21&gt;0,B19/$B$21,0),COMBIN($J$3,A19)*$L$3^A19*(1-$L$3)^($J$3-A19))</f>
        <v/>
      </c>
      <c r="F19">
        <f>IF($B$21&gt;0,B19/$B$21,0)</f>
        <v/>
      </c>
      <c r="G19">
        <f>E19-F19</f>
        <v/>
      </c>
      <c r="H19">
        <f>D19*E19</f>
        <v/>
      </c>
      <c r="I19">
        <f>I18+E19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MAX(ABS(G7:G19))</f>
        <v/>
      </c>
      <c r="H21">
        <f>SUM(H7:H19)</f>
        <v/>
      </c>
      <c r="I21">
        <f>IF($B$3&gt;0,H21/$B$3,0)</f>
        <v/>
      </c>
      <c r="J21">
        <f>IF($D$3="","N/A",ABS(I21-$D$3)&lt;=$F$3)</f>
        <v/>
      </c>
    </row>
    <row r="22">
      <c r="A22" t="inlineStr">
        <is>
          <t>rtp_drift</t>
        </is>
      </c>
      <c r="B22">
        <f>IF($D$3="","",I21-$D$3)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buy100_low_13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13</v>
      </c>
      <c r="K3" t="inlineStr">
        <is>
          <t>p_right</t>
        </is>
      </c>
      <c r="L3" t="n">
        <v>0.75831917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10</v>
      </c>
      <c r="C7" t="n">
        <v>0</v>
      </c>
      <c r="D7">
        <f>C7/$H$3</f>
        <v/>
      </c>
      <c r="E7">
        <f>IF($J$3="",IF($B$22&gt;0,B7/$B$22,0),COMBIN($J$3,A7)*$L$3^A7*(1-$L$3)^($J$3-A7))</f>
        <v/>
      </c>
      <c r="F7">
        <f>IF($B$22&gt;0,B7/$B$22,0)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391</v>
      </c>
      <c r="C8" t="n">
        <v>1</v>
      </c>
      <c r="D8">
        <f>C8/$H$3</f>
        <v/>
      </c>
      <c r="E8">
        <f>IF($J$3="",IF($B$22&gt;0,B8/$B$22,0),COMBIN($J$3,A8)*$L$3^A8*(1-$L$3)^($J$3-A8))</f>
        <v/>
      </c>
      <c r="F8">
        <f>IF($B$22&gt;0,B8/$B$22,0)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7370</v>
      </c>
      <c r="C9" t="n">
        <v>2</v>
      </c>
      <c r="D9">
        <f>C9/$H$3</f>
        <v/>
      </c>
      <c r="E9">
        <f>IF($J$3="",IF($B$22&gt;0,B9/$B$22,0),COMBIN($J$3,A9)*$L$3^A9*(1-$L$3)^($J$3-A9))</f>
        <v/>
      </c>
      <c r="F9">
        <f>IF($B$22&gt;0,B9/$B$22,0)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84790</v>
      </c>
      <c r="C10" t="n">
        <v>4</v>
      </c>
      <c r="D10">
        <f>C10/$H$3</f>
        <v/>
      </c>
      <c r="E10">
        <f>IF($J$3="",IF($B$22&gt;0,B10/$B$22,0),COMBIN($J$3,A10)*$L$3^A10*(1-$L$3)^($J$3-A10))</f>
        <v/>
      </c>
      <c r="F10">
        <f>IF($B$22&gt;0,B10/$B$22,0)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665111</v>
      </c>
      <c r="C11" t="n">
        <v>12</v>
      </c>
      <c r="D11">
        <f>C11/$H$3</f>
        <v/>
      </c>
      <c r="E11">
        <f>IF($J$3="",IF($B$22&gt;0,B11/$B$22,0),COMBIN($J$3,A11)*$L$3^A11*(1-$L$3)^($J$3-A11))</f>
        <v/>
      </c>
      <c r="F11">
        <f>IF($B$22&gt;0,B11/$B$22,0)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3756439</v>
      </c>
      <c r="C12" t="n">
        <v>31</v>
      </c>
      <c r="D12">
        <f>C12/$H$3</f>
        <v/>
      </c>
      <c r="E12">
        <f>IF($J$3="",IF($B$22&gt;0,B12/$B$22,0),COMBIN($J$3,A12)*$L$3^A12*(1-$L$3)^($J$3-A12))</f>
        <v/>
      </c>
      <c r="F12">
        <f>IF($B$22&gt;0,B12/$B$22,0)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15715380</v>
      </c>
      <c r="C13" t="n">
        <v>82</v>
      </c>
      <c r="D13">
        <f>C13/$H$3</f>
        <v/>
      </c>
      <c r="E13">
        <f>IF($J$3="",IF($B$22&gt;0,B13/$B$22,0),COMBIN($J$3,A13)*$L$3^A13*(1-$L$3)^($J$3-A13))</f>
        <v/>
      </c>
      <c r="F13">
        <f>IF($B$22&gt;0,B13/$B$22,0)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49309968</v>
      </c>
      <c r="C14" t="n">
        <v>220</v>
      </c>
      <c r="D14">
        <f>C14/$H$3</f>
        <v/>
      </c>
      <c r="E14">
        <f>IF($J$3="",IF($B$22&gt;0,B14/$B$22,0),COMBIN($J$3,A14)*$L$3^A14*(1-$L$3)^($J$3-A14))</f>
        <v/>
      </c>
      <c r="F14">
        <f>IF($B$22&gt;0,B14/$B$22,0)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116039494</v>
      </c>
      <c r="C15" t="n">
        <v>588</v>
      </c>
      <c r="D15">
        <f>C15/$H$3</f>
        <v/>
      </c>
      <c r="E15">
        <f>IF($J$3="",IF($B$22&gt;0,B15/$B$22,0),COMBIN($J$3,A15)*$L$3^A15*(1-$L$3)^($J$3-A15))</f>
        <v/>
      </c>
      <c r="F15">
        <f>IF($B$22&gt;0,B15/$B$22,0)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202275444</v>
      </c>
      <c r="C16" t="n">
        <v>1571</v>
      </c>
      <c r="D16">
        <f>C16/$H$3</f>
        <v/>
      </c>
      <c r="E16">
        <f>IF($J$3="",IF($B$22&gt;0,B16/$B$22,0),COMBIN($J$3,A16)*$L$3^A16*(1-$L$3)^($J$3-A16))</f>
        <v/>
      </c>
      <c r="F16">
        <f>IF($B$22&gt;0,B16/$B$22,0)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253870942</v>
      </c>
      <c r="C17" t="n">
        <v>4198</v>
      </c>
      <c r="D17">
        <f>C17/$H$3</f>
        <v/>
      </c>
      <c r="E17">
        <f>IF($J$3="",IF($B$22&gt;0,B17/$B$22,0),COMBIN($J$3,A17)*$L$3^A17*(1-$L$3)^($J$3-A17))</f>
        <v/>
      </c>
      <c r="F17">
        <f>IF($B$22&gt;0,B17/$B$22,0)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217245808</v>
      </c>
      <c r="C18" t="n">
        <v>11222</v>
      </c>
      <c r="D18">
        <f>C18/$H$3</f>
        <v/>
      </c>
      <c r="E18">
        <f>IF($J$3="",IF($B$22&gt;0,B18/$B$22,0),COMBIN($J$3,A18)*$L$3^A18*(1-$L$3)^($J$3-A18))</f>
        <v/>
      </c>
      <c r="F18">
        <f>IF($B$22&gt;0,B18/$B$22,0)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113608283</v>
      </c>
      <c r="C19" t="n">
        <v>29999</v>
      </c>
      <c r="D19">
        <f>C19/$H$3</f>
        <v/>
      </c>
      <c r="E19">
        <f>IF($J$3="",IF($B$22&gt;0,B19/$B$22,0),COMBIN($J$3,A19)*$L$3^A19*(1-$L$3)^($J$3-A19))</f>
        <v/>
      </c>
      <c r="F19">
        <f>IF($B$22&gt;0,B19/$B$22,0)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27420702</v>
      </c>
      <c r="C20" t="n">
        <v>80190</v>
      </c>
      <c r="D20">
        <f>C20/$H$3</f>
        <v/>
      </c>
      <c r="E20">
        <f>IF($J$3="",IF($B$22&gt;0,B20/$B$22,0),COMBIN($J$3,A20)*$L$3^A20*(1-$L$3)^($J$3-A20))</f>
        <v/>
      </c>
      <c r="F20">
        <f>IF($B$22&gt;0,B20/$B$22,0)</f>
        <v/>
      </c>
      <c r="G20">
        <f>E20-F20</f>
        <v/>
      </c>
      <c r="H20">
        <f>D20*E20</f>
        <v/>
      </c>
      <c r="I20">
        <f>I19+E20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MAX(ABS(G7:G20))</f>
        <v/>
      </c>
      <c r="H22">
        <f>SUM(H7:H20)</f>
        <v/>
      </c>
      <c r="I22">
        <f>IF($B$3&gt;0,H22/$B$3,0)</f>
        <v/>
      </c>
      <c r="J22">
        <f>IF($D$3="","N/A",ABS(I22-$D$3)&lt;=$F$3)</f>
        <v/>
      </c>
    </row>
    <row r="23">
      <c r="A23" t="inlineStr">
        <is>
          <t>rtp_drift</t>
        </is>
      </c>
      <c r="B23">
        <f>IF($D$3="","",I22-$D$3)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buy100_low_14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14</v>
      </c>
      <c r="K3" t="inlineStr">
        <is>
          <t>p_right</t>
        </is>
      </c>
      <c r="L3" t="n">
        <v>0.79631213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0</v>
      </c>
      <c r="C7" t="n">
        <v>0</v>
      </c>
      <c r="D7">
        <f>C7/$H$3</f>
        <v/>
      </c>
      <c r="E7">
        <f>IF($J$3="",IF($B$23&gt;0,B7/$B$23,0),COMBIN($J$3,A7)*$L$3^A7*(1-$L$3)^($J$3-A7))</f>
        <v/>
      </c>
      <c r="F7">
        <f>IF($B$23&gt;0,B7/$B$23,0)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12</v>
      </c>
      <c r="C8" t="n">
        <v>0</v>
      </c>
      <c r="D8">
        <f>C8/$H$3</f>
        <v/>
      </c>
      <c r="E8">
        <f>IF($J$3="",IF($B$23&gt;0,B8/$B$23,0),COMBIN($J$3,A8)*$L$3^A8*(1-$L$3)^($J$3-A8))</f>
        <v/>
      </c>
      <c r="F8">
        <f>IF($B$23&gt;0,B8/$B$23,0)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294</v>
      </c>
      <c r="C9" t="n">
        <v>0</v>
      </c>
      <c r="D9">
        <f>C9/$H$3</f>
        <v/>
      </c>
      <c r="E9">
        <f>IF($J$3="",IF($B$23&gt;0,B9/$B$23,0),COMBIN($J$3,A9)*$L$3^A9*(1-$L$3)^($J$3-A9))</f>
        <v/>
      </c>
      <c r="F9">
        <f>IF($B$23&gt;0,B9/$B$23,0)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4602</v>
      </c>
      <c r="C10" t="n">
        <v>1</v>
      </c>
      <c r="D10">
        <f>C10/$H$3</f>
        <v/>
      </c>
      <c r="E10">
        <f>IF($J$3="",IF($B$23&gt;0,B10/$B$23,0),COMBIN($J$3,A10)*$L$3^A10*(1-$L$3)^($J$3-A10))</f>
        <v/>
      </c>
      <c r="F10">
        <f>IF($B$23&gt;0,B10/$B$23,0)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49479</v>
      </c>
      <c r="C11" t="n">
        <v>2</v>
      </c>
      <c r="D11">
        <f>C11/$H$3</f>
        <v/>
      </c>
      <c r="E11">
        <f>IF($J$3="",IF($B$23&gt;0,B11/$B$23,0),COMBIN($J$3,A11)*$L$3^A11*(1-$L$3)^($J$3-A11))</f>
        <v/>
      </c>
      <c r="F11">
        <f>IF($B$23&gt;0,B11/$B$23,0)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386872</v>
      </c>
      <c r="C12" t="n">
        <v>5</v>
      </c>
      <c r="D12">
        <f>C12/$H$3</f>
        <v/>
      </c>
      <c r="E12">
        <f>IF($J$3="",IF($B$23&gt;0,B12/$B$23,0),COMBIN($J$3,A12)*$L$3^A12*(1-$L$3)^($J$3-A12))</f>
        <v/>
      </c>
      <c r="F12">
        <f>IF($B$23&gt;0,B12/$B$23,0)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2268698</v>
      </c>
      <c r="C13" t="n">
        <v>15</v>
      </c>
      <c r="D13">
        <f>C13/$H$3</f>
        <v/>
      </c>
      <c r="E13">
        <f>IF($J$3="",IF($B$23&gt;0,B13/$B$23,0),COMBIN($J$3,A13)*$L$3^A13*(1-$L$3)^($J$3-A13))</f>
        <v/>
      </c>
      <c r="F13">
        <f>IF($B$23&gt;0,B13/$B$23,0)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10136471</v>
      </c>
      <c r="C14" t="n">
        <v>42</v>
      </c>
      <c r="D14">
        <f>C14/$H$3</f>
        <v/>
      </c>
      <c r="E14">
        <f>IF($J$3="",IF($B$23&gt;0,B14/$B$23,0),COMBIN($J$3,A14)*$L$3^A14*(1-$L$3)^($J$3-A14))</f>
        <v/>
      </c>
      <c r="F14">
        <f>IF($B$23&gt;0,B14/$B$23,0)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34674721</v>
      </c>
      <c r="C15" t="n">
        <v>121</v>
      </c>
      <c r="D15">
        <f>C15/$H$3</f>
        <v/>
      </c>
      <c r="E15">
        <f>IF($J$3="",IF($B$23&gt;0,B15/$B$23,0),COMBIN($J$3,A15)*$L$3^A15*(1-$L$3)^($J$3-A15))</f>
        <v/>
      </c>
      <c r="F15">
        <f>IF($B$23&gt;0,B15/$B$23,0)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90373247</v>
      </c>
      <c r="C16" t="n">
        <v>350</v>
      </c>
      <c r="D16">
        <f>C16/$H$3</f>
        <v/>
      </c>
      <c r="E16">
        <f>IF($J$3="",IF($B$23&gt;0,B16/$B$23,0),COMBIN($J$3,A16)*$L$3^A16*(1-$L$3)^($J$3-A16))</f>
        <v/>
      </c>
      <c r="F16">
        <f>IF($B$23&gt;0,B16/$B$23,0)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176655863</v>
      </c>
      <c r="C17" t="n">
        <v>1011</v>
      </c>
      <c r="D17">
        <f>C17/$H$3</f>
        <v/>
      </c>
      <c r="E17">
        <f>IF($J$3="",IF($B$23&gt;0,B17/$B$23,0),COMBIN($J$3,A17)*$L$3^A17*(1-$L$3)^($J$3-A17))</f>
        <v/>
      </c>
      <c r="F17">
        <f>IF($B$23&gt;0,B17/$B$23,0)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251138634</v>
      </c>
      <c r="C18" t="n">
        <v>2920</v>
      </c>
      <c r="D18">
        <f>C18/$H$3</f>
        <v/>
      </c>
      <c r="E18">
        <f>IF($J$3="",IF($B$23&gt;0,B18/$B$23,0),COMBIN($J$3,A18)*$L$3^A18*(1-$L$3)^($J$3-A18))</f>
        <v/>
      </c>
      <c r="F18">
        <f>IF($B$23&gt;0,B18/$B$23,0)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245454897</v>
      </c>
      <c r="C19" t="n">
        <v>8430</v>
      </c>
      <c r="D19">
        <f>C19/$H$3</f>
        <v/>
      </c>
      <c r="E19">
        <f>IF($J$3="",IF($B$23&gt;0,B19/$B$23,0),COMBIN($J$3,A19)*$L$3^A19*(1-$L$3)^($J$3-A19))</f>
        <v/>
      </c>
      <c r="F19">
        <f>IF($B$23&gt;0,B19/$B$23,0)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147630643</v>
      </c>
      <c r="C20" t="n">
        <v>24343</v>
      </c>
      <c r="D20">
        <f>C20/$H$3</f>
        <v/>
      </c>
      <c r="E20">
        <f>IF($J$3="",IF($B$23&gt;0,B20/$B$23,0),COMBIN($J$3,A20)*$L$3^A20*(1-$L$3)^($J$3-A20))</f>
        <v/>
      </c>
      <c r="F20">
        <f>IF($B$23&gt;0,B20/$B$23,0)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41226149</v>
      </c>
      <c r="C21" t="n">
        <v>70290</v>
      </c>
      <c r="D21">
        <f>C21/$H$3</f>
        <v/>
      </c>
      <c r="E21">
        <f>IF($J$3="",IF($B$23&gt;0,B21/$B$23,0),COMBIN($J$3,A21)*$L$3^A21*(1-$L$3)^($J$3-A21))</f>
        <v/>
      </c>
      <c r="F21">
        <f>IF($B$23&gt;0,B21/$B$23,0)</f>
        <v/>
      </c>
      <c r="G21">
        <f>E21-F21</f>
        <v/>
      </c>
      <c r="H21">
        <f>D21*E21</f>
        <v/>
      </c>
      <c r="I21">
        <f>I20+E21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MAX(ABS(G7:G21))</f>
        <v/>
      </c>
      <c r="H23">
        <f>SUM(H7:H21)</f>
        <v/>
      </c>
      <c r="I23">
        <f>IF($B$3&gt;0,H23/$B$3,0)</f>
        <v/>
      </c>
      <c r="J23">
        <f>IF($D$3="","N/A",ABS(I23-$D$3)&lt;=$F$3)</f>
        <v/>
      </c>
    </row>
    <row r="24">
      <c r="A24" t="inlineStr">
        <is>
          <t>rtp_drift</t>
        </is>
      </c>
      <c r="B24">
        <f>IF($D$3="","",I23-$D$3)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buy100_low_15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15</v>
      </c>
      <c r="K3" t="inlineStr">
        <is>
          <t>p_right</t>
        </is>
      </c>
      <c r="L3" t="n">
        <v>0.67975952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38</v>
      </c>
      <c r="C7" t="n">
        <v>2</v>
      </c>
      <c r="D7">
        <f>C7/$H$3</f>
        <v/>
      </c>
      <c r="E7">
        <f>IF($J$3="",IF($B$24&gt;0,B7/$B$24,0),COMBIN($J$3,A7)*$L$3^A7*(1-$L$3)^($J$3-A7))</f>
        <v/>
      </c>
      <c r="F7">
        <f>IF($B$24&gt;0,B7/$B$24,0)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1217</v>
      </c>
      <c r="C8" t="n">
        <v>5</v>
      </c>
      <c r="D8">
        <f>C8/$H$3</f>
        <v/>
      </c>
      <c r="E8">
        <f>IF($J$3="",IF($B$24&gt;0,B8/$B$24,0),COMBIN($J$3,A8)*$L$3^A8*(1-$L$3)^($J$3-A8))</f>
        <v/>
      </c>
      <c r="F8">
        <f>IF($B$24&gt;0,B8/$B$24,0)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18076</v>
      </c>
      <c r="C9" t="n">
        <v>10</v>
      </c>
      <c r="D9">
        <f>C9/$H$3</f>
        <v/>
      </c>
      <c r="E9">
        <f>IF($J$3="",IF($B$24&gt;0,B9/$B$24,0),COMBIN($J$3,A9)*$L$3^A9*(1-$L$3)^($J$3-A9))</f>
        <v/>
      </c>
      <c r="F9">
        <f>IF($B$24&gt;0,B9/$B$24,0)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166262</v>
      </c>
      <c r="C10" t="n">
        <v>21</v>
      </c>
      <c r="D10">
        <f>C10/$H$3</f>
        <v/>
      </c>
      <c r="E10">
        <f>IF($J$3="",IF($B$24&gt;0,B10/$B$24,0),COMBIN($J$3,A10)*$L$3^A10*(1-$L$3)^($J$3-A10))</f>
        <v/>
      </c>
      <c r="F10">
        <f>IF($B$24&gt;0,B10/$B$24,0)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1058748</v>
      </c>
      <c r="C11" t="n">
        <v>43</v>
      </c>
      <c r="D11">
        <f>C11/$H$3</f>
        <v/>
      </c>
      <c r="E11">
        <f>IF($J$3="",IF($B$24&gt;0,B11/$B$24,0),COMBIN($J$3,A11)*$L$3^A11*(1-$L$3)^($J$3-A11))</f>
        <v/>
      </c>
      <c r="F11">
        <f>IF($B$24&gt;0,B11/$B$24,0)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4944179</v>
      </c>
      <c r="C12" t="n">
        <v>91</v>
      </c>
      <c r="D12">
        <f>C12/$H$3</f>
        <v/>
      </c>
      <c r="E12">
        <f>IF($J$3="",IF($B$24&gt;0,B12/$B$24,0),COMBIN($J$3,A12)*$L$3^A12*(1-$L$3)^($J$3-A12))</f>
        <v/>
      </c>
      <c r="F12">
        <f>IF($B$24&gt;0,B12/$B$24,0)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17491295</v>
      </c>
      <c r="C13" t="n">
        <v>191</v>
      </c>
      <c r="D13">
        <f>C13/$H$3</f>
        <v/>
      </c>
      <c r="E13">
        <f>IF($J$3="",IF($B$24&gt;0,B13/$B$24,0),COMBIN($J$3,A13)*$L$3^A13*(1-$L$3)^($J$3-A13))</f>
        <v/>
      </c>
      <c r="F13">
        <f>IF($B$24&gt;0,B13/$B$24,0)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47735942</v>
      </c>
      <c r="C14" t="n">
        <v>399</v>
      </c>
      <c r="D14">
        <f>C14/$H$3</f>
        <v/>
      </c>
      <c r="E14">
        <f>IF($J$3="",IF($B$24&gt;0,B14/$B$24,0),COMBIN($J$3,A14)*$L$3^A14*(1-$L$3)^($J$3-A14))</f>
        <v/>
      </c>
      <c r="F14">
        <f>IF($B$24&gt;0,B14/$B$24,0)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101326854</v>
      </c>
      <c r="C15" t="n">
        <v>837</v>
      </c>
      <c r="D15">
        <f>C15/$H$3</f>
        <v/>
      </c>
      <c r="E15">
        <f>IF($J$3="",IF($B$24&gt;0,B15/$B$24,0),COMBIN($J$3,A15)*$L$3^A15*(1-$L$3)^($J$3-A15))</f>
        <v/>
      </c>
      <c r="F15">
        <f>IF($B$24&gt;0,B15/$B$24,0)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167285828</v>
      </c>
      <c r="C16" t="n">
        <v>1754</v>
      </c>
      <c r="D16">
        <f>C16/$H$3</f>
        <v/>
      </c>
      <c r="E16">
        <f>IF($J$3="",IF($B$24&gt;0,B16/$B$24,0),COMBIN($J$3,A16)*$L$3^A16*(1-$L$3)^($J$3-A16))</f>
        <v/>
      </c>
      <c r="F16">
        <f>IF($B$24&gt;0,B16/$B$24,0)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213053886</v>
      </c>
      <c r="C17" t="n">
        <v>3675</v>
      </c>
      <c r="D17">
        <f>C17/$H$3</f>
        <v/>
      </c>
      <c r="E17">
        <f>IF($J$3="",IF($B$24&gt;0,B17/$B$24,0),COMBIN($J$3,A17)*$L$3^A17*(1-$L$3)^($J$3-A17))</f>
        <v/>
      </c>
      <c r="F17">
        <f>IF($B$24&gt;0,B17/$B$24,0)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205563423</v>
      </c>
      <c r="C18" t="n">
        <v>7701</v>
      </c>
      <c r="D18">
        <f>C18/$H$3</f>
        <v/>
      </c>
      <c r="E18">
        <f>IF($J$3="",IF($B$24&gt;0,B18/$B$24,0),COMBIN($J$3,A18)*$L$3^A18*(1-$L$3)^($J$3-A18))</f>
        <v/>
      </c>
      <c r="F18">
        <f>IF($B$24&gt;0,B18/$B$24,0)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145446624</v>
      </c>
      <c r="C19" t="n">
        <v>16138</v>
      </c>
      <c r="D19">
        <f>C19/$H$3</f>
        <v/>
      </c>
      <c r="E19">
        <f>IF($J$3="",IF($B$24&gt;0,B19/$B$24,0),COMBIN($J$3,A19)*$L$3^A19*(1-$L$3)^($J$3-A19))</f>
        <v/>
      </c>
      <c r="F19">
        <f>IF($B$24&gt;0,B19/$B$24,0)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71246020</v>
      </c>
      <c r="C20" t="n">
        <v>33818</v>
      </c>
      <c r="D20">
        <f>C20/$H$3</f>
        <v/>
      </c>
      <c r="E20">
        <f>IF($J$3="",IF($B$24&gt;0,B20/$B$24,0),COMBIN($J$3,A20)*$L$3^A20*(1-$L$3)^($J$3-A20))</f>
        <v/>
      </c>
      <c r="F20">
        <f>IF($B$24&gt;0,B20/$B$24,0)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21604371</v>
      </c>
      <c r="C21" t="n">
        <v>70866</v>
      </c>
      <c r="D21">
        <f>C21/$H$3</f>
        <v/>
      </c>
      <c r="E21">
        <f>IF($J$3="",IF($B$24&gt;0,B21/$B$24,0),COMBIN($J$3,A21)*$L$3^A21*(1-$L$3)^($J$3-A21))</f>
        <v/>
      </c>
      <c r="F21">
        <f>IF($B$24&gt;0,B21/$B$24,0)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3058575</v>
      </c>
      <c r="C22" t="n">
        <v>148500</v>
      </c>
      <c r="D22">
        <f>C22/$H$3</f>
        <v/>
      </c>
      <c r="E22">
        <f>IF($J$3="",IF($B$24&gt;0,B22/$B$24,0),COMBIN($J$3,A22)*$L$3^A22*(1-$L$3)^($J$3-A22))</f>
        <v/>
      </c>
      <c r="F22">
        <f>IF($B$24&gt;0,B22/$B$24,0)</f>
        <v/>
      </c>
      <c r="G22">
        <f>E22-F22</f>
        <v/>
      </c>
      <c r="H22">
        <f>D22*E22</f>
        <v/>
      </c>
      <c r="I22">
        <f>I21+E22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MAX(ABS(G7:G22))</f>
        <v/>
      </c>
      <c r="H24">
        <f>SUM(H7:H22)</f>
        <v/>
      </c>
      <c r="I24">
        <f>IF($B$3&gt;0,H24/$B$3,0)</f>
        <v/>
      </c>
      <c r="J24">
        <f>IF($D$3="","N/A",ABS(I24-$D$3)&lt;=$F$3)</f>
        <v/>
      </c>
    </row>
    <row r="25">
      <c r="A25" t="inlineStr">
        <is>
          <t>rtp_drift</t>
        </is>
      </c>
      <c r="B25">
        <f>IF($D$3="","",I24-$D$3)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buy100_low_16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16</v>
      </c>
      <c r="K3" t="inlineStr">
        <is>
          <t>p_right</t>
        </is>
      </c>
      <c r="L3" t="n">
        <v>0.68477751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10</v>
      </c>
      <c r="C7" t="n">
        <v>2</v>
      </c>
      <c r="D7">
        <f>C7/$H$3</f>
        <v/>
      </c>
      <c r="E7">
        <f>IF($J$3="",IF($B$25&gt;0,B7/$B$25,0),COMBIN($J$3,A7)*$L$3^A7*(1-$L$3)^($J$3-A7))</f>
        <v/>
      </c>
      <c r="F7">
        <f>IF($B$25&gt;0,B7/$B$25,0)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330</v>
      </c>
      <c r="C8" t="n">
        <v>3</v>
      </c>
      <c r="D8">
        <f>C8/$H$3</f>
        <v/>
      </c>
      <c r="E8">
        <f>IF($J$3="",IF($B$25&gt;0,B8/$B$25,0),COMBIN($J$3,A8)*$L$3^A8*(1-$L$3)^($J$3-A8))</f>
        <v/>
      </c>
      <c r="F8">
        <f>IF($B$25&gt;0,B8/$B$25,0)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5382</v>
      </c>
      <c r="C9" t="n">
        <v>7</v>
      </c>
      <c r="D9">
        <f>C9/$H$3</f>
        <v/>
      </c>
      <c r="E9">
        <f>IF($J$3="",IF($B$25&gt;0,B9/$B$25,0),COMBIN($J$3,A9)*$L$3^A9*(1-$L$3)^($J$3-A9))</f>
        <v/>
      </c>
      <c r="F9">
        <f>IF($B$25&gt;0,B9/$B$25,0)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54558</v>
      </c>
      <c r="C10" t="n">
        <v>14</v>
      </c>
      <c r="D10">
        <f>C10/$H$3</f>
        <v/>
      </c>
      <c r="E10">
        <f>IF($J$3="",IF($B$25&gt;0,B10/$B$25,0),COMBIN($J$3,A10)*$L$3^A10*(1-$L$3)^($J$3-A10))</f>
        <v/>
      </c>
      <c r="F10">
        <f>IF($B$25&gt;0,B10/$B$25,0)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385191</v>
      </c>
      <c r="C11" t="n">
        <v>29</v>
      </c>
      <c r="D11">
        <f>C11/$H$3</f>
        <v/>
      </c>
      <c r="E11">
        <f>IF($J$3="",IF($B$25&gt;0,B11/$B$25,0),COMBIN($J$3,A11)*$L$3^A11*(1-$L$3)^($J$3-A11))</f>
        <v/>
      </c>
      <c r="F11">
        <f>IF($B$25&gt;0,B11/$B$25,0)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2008257</v>
      </c>
      <c r="C12" t="n">
        <v>60</v>
      </c>
      <c r="D12">
        <f>C12/$H$3</f>
        <v/>
      </c>
      <c r="E12">
        <f>IF($J$3="",IF($B$25&gt;0,B12/$B$25,0),COMBIN($J$3,A12)*$L$3^A12*(1-$L$3)^($J$3-A12))</f>
        <v/>
      </c>
      <c r="F12">
        <f>IF($B$25&gt;0,B12/$B$25,0)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7998213</v>
      </c>
      <c r="C13" t="n">
        <v>123</v>
      </c>
      <c r="D13">
        <f>C13/$H$3</f>
        <v/>
      </c>
      <c r="E13">
        <f>IF($J$3="",IF($B$25&gt;0,B13/$B$25,0),COMBIN($J$3,A13)*$L$3^A13*(1-$L$3)^($J$3-A13))</f>
        <v/>
      </c>
      <c r="F13">
        <f>IF($B$25&gt;0,B13/$B$25,0)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24821454</v>
      </c>
      <c r="C14" t="n">
        <v>251</v>
      </c>
      <c r="D14">
        <f>C14/$H$3</f>
        <v/>
      </c>
      <c r="E14">
        <f>IF($J$3="",IF($B$25&gt;0,B14/$B$25,0),COMBIN($J$3,A14)*$L$3^A14*(1-$L$3)^($J$3-A14))</f>
        <v/>
      </c>
      <c r="F14">
        <f>IF($B$25&gt;0,B14/$B$25,0)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60661344</v>
      </c>
      <c r="C15" t="n">
        <v>514</v>
      </c>
      <c r="D15">
        <f>C15/$H$3</f>
        <v/>
      </c>
      <c r="E15">
        <f>IF($J$3="",IF($B$25&gt;0,B15/$B$25,0),COMBIN($J$3,A15)*$L$3^A15*(1-$L$3)^($J$3-A15))</f>
        <v/>
      </c>
      <c r="F15">
        <f>IF($B$25&gt;0,B15/$B$25,0)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117136379</v>
      </c>
      <c r="C16" t="n">
        <v>1052</v>
      </c>
      <c r="D16">
        <f>C16/$H$3</f>
        <v/>
      </c>
      <c r="E16">
        <f>IF($J$3="",IF($B$25&gt;0,B16/$B$25,0),COMBIN($J$3,A16)*$L$3^A16*(1-$L$3)^($J$3-A16))</f>
        <v/>
      </c>
      <c r="F16">
        <f>IF($B$25&gt;0,B16/$B$25,0)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178123871</v>
      </c>
      <c r="C17" t="n">
        <v>2154</v>
      </c>
      <c r="D17">
        <f>C17/$H$3</f>
        <v/>
      </c>
      <c r="E17">
        <f>IF($J$3="",IF($B$25&gt;0,B17/$B$25,0),COMBIN($J$3,A17)*$L$3^A17*(1-$L$3)^($J$3-A17))</f>
        <v/>
      </c>
      <c r="F17">
        <f>IF($B$25&gt;0,B17/$B$25,0)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211063424</v>
      </c>
      <c r="C18" t="n">
        <v>4409</v>
      </c>
      <c r="D18">
        <f>C18/$H$3</f>
        <v/>
      </c>
      <c r="E18">
        <f>IF($J$3="",IF($B$25&gt;0,B18/$B$25,0),COMBIN($J$3,A18)*$L$3^A18*(1-$L$3)^($J$3-A18))</f>
        <v/>
      </c>
      <c r="F18">
        <f>IF($B$25&gt;0,B18/$B$25,0)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191044275</v>
      </c>
      <c r="C19" t="n">
        <v>9024</v>
      </c>
      <c r="D19">
        <f>C19/$H$3</f>
        <v/>
      </c>
      <c r="E19">
        <f>IF($J$3="",IF($B$25&gt;0,B19/$B$25,0),COMBIN($J$3,A19)*$L$3^A19*(1-$L$3)^($J$3-A19))</f>
        <v/>
      </c>
      <c r="F19">
        <f>IF($B$25&gt;0,B19/$B$25,0)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127697665</v>
      </c>
      <c r="C20" t="n">
        <v>18471</v>
      </c>
      <c r="D20">
        <f>C20/$H$3</f>
        <v/>
      </c>
      <c r="E20">
        <f>IF($J$3="",IF($B$25&gt;0,B20/$B$25,0),COMBIN($J$3,A20)*$L$3^A20*(1-$L$3)^($J$3-A20))</f>
        <v/>
      </c>
      <c r="F20">
        <f>IF($B$25&gt;0,B20/$B$25,0)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59444060</v>
      </c>
      <c r="C21" t="n">
        <v>37808</v>
      </c>
      <c r="D21">
        <f>C21/$H$3</f>
        <v/>
      </c>
      <c r="E21">
        <f>IF($J$3="",IF($B$25&gt;0,B21/$B$25,0),COMBIN($J$3,A21)*$L$3^A21*(1-$L$3)^($J$3-A21))</f>
        <v/>
      </c>
      <c r="F21">
        <f>IF($B$25&gt;0,B21/$B$25,0)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17217873</v>
      </c>
      <c r="C22" t="n">
        <v>77387</v>
      </c>
      <c r="D22">
        <f>C22/$H$3</f>
        <v/>
      </c>
      <c r="E22">
        <f>IF($J$3="",IF($B$25&gt;0,B22/$B$25,0),COMBIN($J$3,A22)*$L$3^A22*(1-$L$3)^($J$3-A22))</f>
        <v/>
      </c>
      <c r="F22">
        <f>IF($B$25&gt;0,B22/$B$25,0)</f>
        <v/>
      </c>
      <c r="G22">
        <f>E22-F22</f>
        <v/>
      </c>
      <c r="H22">
        <f>D22*E22</f>
        <v/>
      </c>
      <c r="I22">
        <f>I21+E22</f>
        <v/>
      </c>
    </row>
    <row r="23">
      <c r="A23" t="n">
        <v>16</v>
      </c>
      <c r="B23" t="n">
        <v>2338098</v>
      </c>
      <c r="C23" t="n">
        <v>158400</v>
      </c>
      <c r="D23">
        <f>C23/$H$3</f>
        <v/>
      </c>
      <c r="E23">
        <f>IF($J$3="",IF($B$25&gt;0,B23/$B$25,0),COMBIN($J$3,A23)*$L$3^A23*(1-$L$3)^($J$3-A23))</f>
        <v/>
      </c>
      <c r="F23">
        <f>IF($B$25&gt;0,B23/$B$25,0)</f>
        <v/>
      </c>
      <c r="G23">
        <f>E23-F23</f>
        <v/>
      </c>
      <c r="H23">
        <f>D23*E23</f>
        <v/>
      </c>
      <c r="I23">
        <f>I22+E23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MAX(ABS(G7:G23))</f>
        <v/>
      </c>
      <c r="H25">
        <f>SUM(H7:H23)</f>
        <v/>
      </c>
      <c r="I25">
        <f>IF($B$3&gt;0,H25/$B$3,0)</f>
        <v/>
      </c>
      <c r="J25">
        <f>IF($D$3="","N/A",ABS(I25-$D$3)&lt;=$F$3)</f>
        <v/>
      </c>
    </row>
    <row r="26">
      <c r="A26" t="inlineStr">
        <is>
          <t>rtp_drift</t>
        </is>
      </c>
      <c r="B26">
        <f>IF($D$3="","",I25-$D$3)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buy100_low_8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8</v>
      </c>
      <c r="K3" t="inlineStr">
        <is>
          <t>p_right</t>
        </is>
      </c>
      <c r="L3" t="n">
        <v>0.73307423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25771</v>
      </c>
      <c r="C7" t="n">
        <v>1</v>
      </c>
      <c r="D7">
        <f>C7/$H$3</f>
        <v/>
      </c>
      <c r="E7">
        <f>IF($J$3="",IF($B$17&gt;0,B7/$B$17,0),COMBIN($J$3,A7)*$L$3^A7*(1-$L$3)^($J$3-A7))</f>
        <v/>
      </c>
      <c r="F7">
        <f>IF($B$17&gt;0,B7/$B$17,0)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566202</v>
      </c>
      <c r="C8" t="n">
        <v>4</v>
      </c>
      <c r="D8">
        <f>C8/$H$3</f>
        <v/>
      </c>
      <c r="E8">
        <f>IF($J$3="",IF($B$17&gt;0,B8/$B$17,0),COMBIN($J$3,A8)*$L$3^A8*(1-$L$3)^($J$3-A8))</f>
        <v/>
      </c>
      <c r="F8">
        <f>IF($B$17&gt;0,B8/$B$17,0)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5442482</v>
      </c>
      <c r="C9" t="n">
        <v>17</v>
      </c>
      <c r="D9">
        <f>C9/$H$3</f>
        <v/>
      </c>
      <c r="E9">
        <f>IF($J$3="",IF($B$17&gt;0,B9/$B$17,0),COMBIN($J$3,A9)*$L$3^A9*(1-$L$3)^($J$3-A9))</f>
        <v/>
      </c>
      <c r="F9">
        <f>IF($B$17&gt;0,B9/$B$17,0)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29894026</v>
      </c>
      <c r="C10" t="n">
        <v>65</v>
      </c>
      <c r="D10">
        <f>C10/$H$3</f>
        <v/>
      </c>
      <c r="E10">
        <f>IF($J$3="",IF($B$17&gt;0,B10/$B$17,0),COMBIN($J$3,A10)*$L$3^A10*(1-$L$3)^($J$3-A10))</f>
        <v/>
      </c>
      <c r="F10">
        <f>IF($B$17&gt;0,B10/$B$17,0)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102624692</v>
      </c>
      <c r="C11" t="n">
        <v>250</v>
      </c>
      <c r="D11">
        <f>C11/$H$3</f>
        <v/>
      </c>
      <c r="E11">
        <f>IF($J$3="",IF($B$17&gt;0,B11/$B$17,0),COMBIN($J$3,A11)*$L$3^A11*(1-$L$3)^($J$3-A11))</f>
        <v/>
      </c>
      <c r="F11">
        <f>IF($B$17&gt;0,B11/$B$17,0)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225475472</v>
      </c>
      <c r="C12" t="n">
        <v>963</v>
      </c>
      <c r="D12">
        <f>C12/$H$3</f>
        <v/>
      </c>
      <c r="E12">
        <f>IF($J$3="",IF($B$17&gt;0,B12/$B$17,0),COMBIN($J$3,A12)*$L$3^A12*(1-$L$3)^($J$3-A12))</f>
        <v/>
      </c>
      <c r="F12">
        <f>IF($B$17&gt;0,B12/$B$17,0)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309618396</v>
      </c>
      <c r="C13" t="n">
        <v>3719</v>
      </c>
      <c r="D13">
        <f>C13/$H$3</f>
        <v/>
      </c>
      <c r="E13">
        <f>IF($J$3="",IF($B$17&gt;0,B13/$B$17,0),COMBIN($J$3,A13)*$L$3^A13*(1-$L$3)^($J$3-A13))</f>
        <v/>
      </c>
      <c r="F13">
        <f>IF($B$17&gt;0,B13/$B$17,0)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242949585</v>
      </c>
      <c r="C14" t="n">
        <v>14360</v>
      </c>
      <c r="D14">
        <f>C14/$H$3</f>
        <v/>
      </c>
      <c r="E14">
        <f>IF($J$3="",IF($B$17&gt;0,B14/$B$17,0),COMBIN($J$3,A14)*$L$3^A14*(1-$L$3)^($J$3-A14))</f>
        <v/>
      </c>
      <c r="F14">
        <f>IF($B$17&gt;0,B14/$B$17,0)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83403659</v>
      </c>
      <c r="C15" t="n">
        <v>55440</v>
      </c>
      <c r="D15">
        <f>C15/$H$3</f>
        <v/>
      </c>
      <c r="E15">
        <f>IF($J$3="",IF($B$17&gt;0,B15/$B$17,0),COMBIN($J$3,A15)*$L$3^A15*(1-$L$3)^($J$3-A15))</f>
        <v/>
      </c>
      <c r="F15">
        <f>IF($B$17&gt;0,B15/$B$17,0)</f>
        <v/>
      </c>
      <c r="G15">
        <f>E15-F15</f>
        <v/>
      </c>
      <c r="H15">
        <f>D15*E15</f>
        <v/>
      </c>
      <c r="I15">
        <f>I14+E15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MAX(ABS(G7:G15))</f>
        <v/>
      </c>
      <c r="H17">
        <f>SUM(H7:H15)</f>
        <v/>
      </c>
      <c r="I17">
        <f>IF($B$3&gt;0,H17/$B$3,0)</f>
        <v/>
      </c>
      <c r="J17">
        <f>IF($D$3="","N/A",ABS(I17-$D$3)&lt;=$F$3)</f>
        <v/>
      </c>
    </row>
    <row r="18">
      <c r="A18" t="inlineStr">
        <is>
          <t>rtp_drift</t>
        </is>
      </c>
      <c r="B18">
        <f>IF($D$3="","",I17-$D$3)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buy100_low_9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9</v>
      </c>
      <c r="K3" t="inlineStr">
        <is>
          <t>p_right</t>
        </is>
      </c>
      <c r="L3" t="n">
        <v>0.75852495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2792</v>
      </c>
      <c r="C7" t="n">
        <v>0</v>
      </c>
      <c r="D7">
        <f>C7/$H$3</f>
        <v/>
      </c>
      <c r="E7">
        <f>IF($J$3="",IF($B$18&gt;0,B7/$B$18,0),COMBIN($J$3,A7)*$L$3^A7*(1-$L$3)^($J$3-A7))</f>
        <v/>
      </c>
      <c r="F7">
        <f>IF($B$18&gt;0,B7/$B$18,0)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78921</v>
      </c>
      <c r="C8" t="n">
        <v>1</v>
      </c>
      <c r="D8">
        <f>C8/$H$3</f>
        <v/>
      </c>
      <c r="E8">
        <f>IF($J$3="",IF($B$18&gt;0,B8/$B$18,0),COMBIN($J$3,A8)*$L$3^A8*(1-$L$3)^($J$3-A8))</f>
        <v/>
      </c>
      <c r="F8">
        <f>IF($B$18&gt;0,B8/$B$18,0)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991626</v>
      </c>
      <c r="C9" t="n">
        <v>5</v>
      </c>
      <c r="D9">
        <f>C9/$H$3</f>
        <v/>
      </c>
      <c r="E9">
        <f>IF($J$3="",IF($B$18&gt;0,B9/$B$18,0),COMBIN($J$3,A9)*$L$3^A9*(1-$L$3)^($J$3-A9))</f>
        <v/>
      </c>
      <c r="F9">
        <f>IF($B$18&gt;0,B9/$B$18,0)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7268127</v>
      </c>
      <c r="C10" t="n">
        <v>18</v>
      </c>
      <c r="D10">
        <f>C10/$H$3</f>
        <v/>
      </c>
      <c r="E10">
        <f>IF($J$3="",IF($B$18&gt;0,B10/$B$18,0),COMBIN($J$3,A10)*$L$3^A10*(1-$L$3)^($J$3-A10))</f>
        <v/>
      </c>
      <c r="F10">
        <f>IF($B$18&gt;0,B10/$B$18,0)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34246118</v>
      </c>
      <c r="C11" t="n">
        <v>70</v>
      </c>
      <c r="D11">
        <f>C11/$H$3</f>
        <v/>
      </c>
      <c r="E11">
        <f>IF($J$3="",IF($B$18&gt;0,B11/$B$18,0),COMBIN($J$3,A11)*$L$3^A11*(1-$L$3)^($J$3-A11))</f>
        <v/>
      </c>
      <c r="F11">
        <f>IF($B$18&gt;0,B11/$B$18,0)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107574405</v>
      </c>
      <c r="C12" t="n">
        <v>266</v>
      </c>
      <c r="D12">
        <f>C12/$H$3</f>
        <v/>
      </c>
      <c r="E12">
        <f>IF($J$3="",IF($B$18&gt;0,B12/$B$18,0),COMBIN($J$3,A12)*$L$3^A12*(1-$L$3)^($J$3-A12))</f>
        <v/>
      </c>
      <c r="F12">
        <f>IF($B$18&gt;0,B12/$B$18,0)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225276195</v>
      </c>
      <c r="C13" t="n">
        <v>1012</v>
      </c>
      <c r="D13">
        <f>C13/$H$3</f>
        <v/>
      </c>
      <c r="E13">
        <f>IF($J$3="",IF($B$18&gt;0,B13/$B$18,0),COMBIN($J$3,A13)*$L$3^A13*(1-$L$3)^($J$3-A13))</f>
        <v/>
      </c>
      <c r="F13">
        <f>IF($B$18&gt;0,B13/$B$18,0)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303274660</v>
      </c>
      <c r="C14" t="n">
        <v>3843</v>
      </c>
      <c r="D14">
        <f>C14/$H$3</f>
        <v/>
      </c>
      <c r="E14">
        <f>IF($J$3="",IF($B$18&gt;0,B14/$B$18,0),COMBIN($J$3,A14)*$L$3^A14*(1-$L$3)^($J$3-A14))</f>
        <v/>
      </c>
      <c r="F14">
        <f>IF($B$18&gt;0,B14/$B$18,0)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238162697</v>
      </c>
      <c r="C15" t="n">
        <v>14596</v>
      </c>
      <c r="D15">
        <f>C15/$H$3</f>
        <v/>
      </c>
      <c r="E15">
        <f>IF($J$3="",IF($B$18&gt;0,B15/$B$18,0),COMBIN($J$3,A15)*$L$3^A15*(1-$L$3)^($J$3-A15))</f>
        <v/>
      </c>
      <c r="F15">
        <f>IF($B$18&gt;0,B15/$B$18,0)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83117826</v>
      </c>
      <c r="C16" t="n">
        <v>55440</v>
      </c>
      <c r="D16">
        <f>C16/$H$3</f>
        <v/>
      </c>
      <c r="E16">
        <f>IF($J$3="",IF($B$18&gt;0,B16/$B$18,0),COMBIN($J$3,A16)*$L$3^A16*(1-$L$3)^($J$3-A16))</f>
        <v/>
      </c>
      <c r="F16">
        <f>IF($B$18&gt;0,B16/$B$18,0)</f>
        <v/>
      </c>
      <c r="G16">
        <f>E16-F16</f>
        <v/>
      </c>
      <c r="H16">
        <f>D16*E16</f>
        <v/>
      </c>
      <c r="I16">
        <f>I15+E16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MAX(ABS(G7:G16))</f>
        <v/>
      </c>
      <c r="H18">
        <f>SUM(H7:H16)</f>
        <v/>
      </c>
      <c r="I18">
        <f>IF($B$3&gt;0,H18/$B$3,0)</f>
        <v/>
      </c>
      <c r="J18">
        <f>IF($D$3="","N/A",ABS(I18-$D$3)&lt;=$F$3)</f>
        <v/>
      </c>
    </row>
    <row r="19">
      <c r="A19" t="inlineStr">
        <is>
          <t>rtp_drift</t>
        </is>
      </c>
      <c r="B19">
        <f>IF($D$3="","",I18-$D$3)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buy100_medium_10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10</v>
      </c>
      <c r="K3" t="inlineStr">
        <is>
          <t>p_right</t>
        </is>
      </c>
      <c r="L3" t="n">
        <v>0.7238362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2580</v>
      </c>
      <c r="C7" t="n">
        <v>0</v>
      </c>
      <c r="D7">
        <f>C7/$H$3</f>
        <v/>
      </c>
      <c r="E7">
        <f>IF($J$3="",IF($B$19&gt;0,B7/$B$19,0),COMBIN($J$3,A7)*$L$3^A7*(1-$L$3)^($J$3-A7))</f>
        <v/>
      </c>
      <c r="F7">
        <f>IF($B$19&gt;0,B7/$B$19,0)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67630</v>
      </c>
      <c r="C8" t="n">
        <v>0</v>
      </c>
      <c r="D8">
        <f>C8/$H$3</f>
        <v/>
      </c>
      <c r="E8">
        <f>IF($J$3="",IF($B$19&gt;0,B8/$B$19,0),COMBIN($J$3,A8)*$L$3^A8*(1-$L$3)^($J$3-A8))</f>
        <v/>
      </c>
      <c r="F8">
        <f>IF($B$19&gt;0,B8/$B$19,0)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797677</v>
      </c>
      <c r="C9" t="n">
        <v>0</v>
      </c>
      <c r="D9">
        <f>C9/$H$3</f>
        <v/>
      </c>
      <c r="E9">
        <f>IF($J$3="",IF($B$19&gt;0,B9/$B$19,0),COMBIN($J$3,A9)*$L$3^A9*(1-$L$3)^($J$3-A9))</f>
        <v/>
      </c>
      <c r="F9">
        <f>IF($B$19&gt;0,B9/$B$19,0)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5575315</v>
      </c>
      <c r="C10" t="n">
        <v>0</v>
      </c>
      <c r="D10">
        <f>C10/$H$3</f>
        <v/>
      </c>
      <c r="E10">
        <f>IF($J$3="",IF($B$19&gt;0,B10/$B$19,0),COMBIN($J$3,A10)*$L$3^A10*(1-$L$3)^($J$3-A10))</f>
        <v/>
      </c>
      <c r="F10">
        <f>IF($B$19&gt;0,B10/$B$19,0)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25572961</v>
      </c>
      <c r="C11" t="n">
        <v>0</v>
      </c>
      <c r="D11">
        <f>C11/$H$3</f>
        <v/>
      </c>
      <c r="E11">
        <f>IF($J$3="",IF($B$19&gt;0,B11/$B$19,0),COMBIN($J$3,A11)*$L$3^A11*(1-$L$3)^($J$3-A11))</f>
        <v/>
      </c>
      <c r="F11">
        <f>IF($B$19&gt;0,B11/$B$19,0)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80433285</v>
      </c>
      <c r="C12" t="n">
        <v>0</v>
      </c>
      <c r="D12">
        <f>C12/$H$3</f>
        <v/>
      </c>
      <c r="E12">
        <f>IF($J$3="",IF($B$19&gt;0,B12/$B$19,0),COMBIN($J$3,A12)*$L$3^A12*(1-$L$3)^($J$3-A12))</f>
        <v/>
      </c>
      <c r="F12">
        <f>IF($B$19&gt;0,B12/$B$19,0)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175682337</v>
      </c>
      <c r="C13" t="n">
        <v>0</v>
      </c>
      <c r="D13">
        <f>C13/$H$3</f>
        <v/>
      </c>
      <c r="E13">
        <f>IF($J$3="",IF($B$19&gt;0,B13/$B$19,0),COMBIN($J$3,A13)*$L$3^A13*(1-$L$3)^($J$3-A13))</f>
        <v/>
      </c>
      <c r="F13">
        <f>IF($B$19&gt;0,B13/$B$19,0)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263125895</v>
      </c>
      <c r="C14" t="n">
        <v>4</v>
      </c>
      <c r="D14">
        <f>C14/$H$3</f>
        <v/>
      </c>
      <c r="E14">
        <f>IF($J$3="",IF($B$19&gt;0,B14/$B$19,0),COMBIN($J$3,A14)*$L$3^A14*(1-$L$3)^($J$3-A14))</f>
        <v/>
      </c>
      <c r="F14">
        <f>IF($B$19&gt;0,B14/$B$19,0)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258623746</v>
      </c>
      <c r="C15" t="n">
        <v>153</v>
      </c>
      <c r="D15">
        <f>C15/$H$3</f>
        <v/>
      </c>
      <c r="E15">
        <f>IF($J$3="",IF($B$19&gt;0,B15/$B$19,0),COMBIN($J$3,A15)*$L$3^A15*(1-$L$3)^($J$3-A15))</f>
        <v/>
      </c>
      <c r="F15">
        <f>IF($B$19&gt;0,B15/$B$19,0)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150636226</v>
      </c>
      <c r="C16" t="n">
        <v>5769</v>
      </c>
      <c r="D16">
        <f>C16/$H$3</f>
        <v/>
      </c>
      <c r="E16">
        <f>IF($J$3="",IF($B$19&gt;0,B16/$B$19,0),COMBIN($J$3,A16)*$L$3^A16*(1-$L$3)^($J$3-A16))</f>
        <v/>
      </c>
      <c r="F16">
        <f>IF($B$19&gt;0,B16/$B$19,0)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39482599</v>
      </c>
      <c r="C17" t="n">
        <v>217800</v>
      </c>
      <c r="D17">
        <f>C17/$H$3</f>
        <v/>
      </c>
      <c r="E17">
        <f>IF($J$3="",IF($B$19&gt;0,B17/$B$19,0),COMBIN($J$3,A17)*$L$3^A17*(1-$L$3)^($J$3-A17))</f>
        <v/>
      </c>
      <c r="F17">
        <f>IF($B$19&gt;0,B17/$B$19,0)</f>
        <v/>
      </c>
      <c r="G17">
        <f>E17-F17</f>
        <v/>
      </c>
      <c r="H17">
        <f>D17*E17</f>
        <v/>
      </c>
      <c r="I17">
        <f>I16+E17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MAX(ABS(G7:G17))</f>
        <v/>
      </c>
      <c r="H19">
        <f>SUM(H7:H17)</f>
        <v/>
      </c>
      <c r="I19">
        <f>IF($B$3&gt;0,H19/$B$3,0)</f>
        <v/>
      </c>
      <c r="J19">
        <f>IF($D$3="","N/A",ABS(I19-$D$3)&lt;=$F$3)</f>
        <v/>
      </c>
    </row>
    <row r="20">
      <c r="A20" t="inlineStr">
        <is>
          <t>rtp_drift</t>
        </is>
      </c>
      <c r="B20">
        <f>IF($D$3="","",I19-$D$3)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buy100_medium_11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11</v>
      </c>
      <c r="K3" t="inlineStr">
        <is>
          <t>p_right</t>
        </is>
      </c>
      <c r="L3" t="n">
        <v>0.73952088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375</v>
      </c>
      <c r="C7" t="n">
        <v>0</v>
      </c>
      <c r="D7">
        <f>C7/$H$3</f>
        <v/>
      </c>
      <c r="E7">
        <f>IF($J$3="",IF($B$20&gt;0,B7/$B$20,0),COMBIN($J$3,A7)*$L$3^A7*(1-$L$3)^($J$3-A7))</f>
        <v/>
      </c>
      <c r="F7">
        <f>IF($B$20&gt;0,B7/$B$20,0)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11697</v>
      </c>
      <c r="C8" t="n">
        <v>0</v>
      </c>
      <c r="D8">
        <f>C8/$H$3</f>
        <v/>
      </c>
      <c r="E8">
        <f>IF($J$3="",IF($B$20&gt;0,B8/$B$20,0),COMBIN($J$3,A8)*$L$3^A8*(1-$L$3)^($J$3-A8))</f>
        <v/>
      </c>
      <c r="F8">
        <f>IF($B$20&gt;0,B8/$B$20,0)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166043</v>
      </c>
      <c r="C9" t="n">
        <v>0</v>
      </c>
      <c r="D9">
        <f>C9/$H$3</f>
        <v/>
      </c>
      <c r="E9">
        <f>IF($J$3="",IF($B$20&gt;0,B9/$B$20,0),COMBIN($J$3,A9)*$L$3^A9*(1-$L$3)^($J$3-A9))</f>
        <v/>
      </c>
      <c r="F9">
        <f>IF($B$20&gt;0,B9/$B$20,0)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1414225</v>
      </c>
      <c r="C10" t="n">
        <v>0</v>
      </c>
      <c r="D10">
        <f>C10/$H$3</f>
        <v/>
      </c>
      <c r="E10">
        <f>IF($J$3="",IF($B$20&gt;0,B10/$B$20,0),COMBIN($J$3,A10)*$L$3^A10*(1-$L$3)^($J$3-A10))</f>
        <v/>
      </c>
      <c r="F10">
        <f>IF($B$20&gt;0,B10/$B$20,0)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8030195</v>
      </c>
      <c r="C11" t="n">
        <v>0</v>
      </c>
      <c r="D11">
        <f>C11/$H$3</f>
        <v/>
      </c>
      <c r="E11">
        <f>IF($J$3="",IF($B$20&gt;0,B11/$B$20,0),COMBIN($J$3,A11)*$L$3^A11*(1-$L$3)^($J$3-A11))</f>
        <v/>
      </c>
      <c r="F11">
        <f>IF($B$20&gt;0,B11/$B$20,0)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31917705</v>
      </c>
      <c r="C12" t="n">
        <v>0</v>
      </c>
      <c r="D12">
        <f>C12/$H$3</f>
        <v/>
      </c>
      <c r="E12">
        <f>IF($J$3="",IF($B$20&gt;0,B12/$B$20,0),COMBIN($J$3,A12)*$L$3^A12*(1-$L$3)^($J$3-A12))</f>
        <v/>
      </c>
      <c r="F12">
        <f>IF($B$20&gt;0,B12/$B$20,0)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90616897</v>
      </c>
      <c r="C13" t="n">
        <v>0</v>
      </c>
      <c r="D13">
        <f>C13/$H$3</f>
        <v/>
      </c>
      <c r="E13">
        <f>IF($J$3="",IF($B$20&gt;0,B13/$B$20,0),COMBIN($J$3,A13)*$L$3^A13*(1-$L$3)^($J$3-A13))</f>
        <v/>
      </c>
      <c r="F13">
        <f>IF($B$20&gt;0,B13/$B$20,0)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183763258</v>
      </c>
      <c r="C14" t="n">
        <v>0</v>
      </c>
      <c r="D14">
        <f>C14/$H$3</f>
        <v/>
      </c>
      <c r="E14">
        <f>IF($J$3="",IF($B$20&gt;0,B14/$B$20,0),COMBIN($J$3,A14)*$L$3^A14*(1-$L$3)^($J$3-A14))</f>
        <v/>
      </c>
      <c r="F14">
        <f>IF($B$20&gt;0,B14/$B$20,0)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260859235</v>
      </c>
      <c r="C15" t="n">
        <v>4</v>
      </c>
      <c r="D15">
        <f>C15/$H$3</f>
        <v/>
      </c>
      <c r="E15">
        <f>IF($J$3="",IF($B$20&gt;0,B15/$B$20,0),COMBIN($J$3,A15)*$L$3^A15*(1-$L$3)^($J$3-A15))</f>
        <v/>
      </c>
      <c r="F15">
        <f>IF($B$20&gt;0,B15/$B$20,0)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246866688</v>
      </c>
      <c r="C16" t="n">
        <v>163</v>
      </c>
      <c r="D16">
        <f>C16/$H$3</f>
        <v/>
      </c>
      <c r="E16">
        <f>IF($J$3="",IF($B$20&gt;0,B16/$B$20,0),COMBIN($J$3,A16)*$L$3^A16*(1-$L$3)^($J$3-A16))</f>
        <v/>
      </c>
      <c r="F16">
        <f>IF($B$20&gt;0,B16/$B$20,0)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140174823</v>
      </c>
      <c r="C17" t="n">
        <v>6218</v>
      </c>
      <c r="D17">
        <f>C17/$H$3</f>
        <v/>
      </c>
      <c r="E17">
        <f>IF($J$3="",IF($B$20&gt;0,B17/$B$20,0),COMBIN($J$3,A17)*$L$3^A17*(1-$L$3)^($J$3-A17))</f>
        <v/>
      </c>
      <c r="F17">
        <f>IF($B$20&gt;0,B17/$B$20,0)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36178698</v>
      </c>
      <c r="C18" t="n">
        <v>237600</v>
      </c>
      <c r="D18">
        <f>C18/$H$3</f>
        <v/>
      </c>
      <c r="E18">
        <f>IF($J$3="",IF($B$20&gt;0,B18/$B$20,0),COMBIN($J$3,A18)*$L$3^A18*(1-$L$3)^($J$3-A18))</f>
        <v/>
      </c>
      <c r="F18">
        <f>IF($B$20&gt;0,B18/$B$20,0)</f>
        <v/>
      </c>
      <c r="G18">
        <f>E18-F18</f>
        <v/>
      </c>
      <c r="H18">
        <f>D18*E18</f>
        <v/>
      </c>
      <c r="I18">
        <f>I17+E18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MAX(ABS(G7:G18))</f>
        <v/>
      </c>
      <c r="H20">
        <f>SUM(H7:H18)</f>
        <v/>
      </c>
      <c r="I20">
        <f>IF($B$3&gt;0,H20/$B$3,0)</f>
        <v/>
      </c>
      <c r="J20">
        <f>IF($D$3="","N/A",ABS(I20-$D$3)&lt;=$F$3)</f>
        <v/>
      </c>
    </row>
    <row r="21">
      <c r="A21" t="inlineStr">
        <is>
          <t>rtp_drift</t>
        </is>
      </c>
      <c r="B21">
        <f>IF($D$3="","",I20-$D$3)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buy100_medium_12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12</v>
      </c>
      <c r="K3" t="inlineStr">
        <is>
          <t>p_right</t>
        </is>
      </c>
      <c r="L3" t="n">
        <v>0.7384317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103</v>
      </c>
      <c r="C7" t="n">
        <v>0</v>
      </c>
      <c r="D7">
        <f>C7/$H$3</f>
        <v/>
      </c>
      <c r="E7">
        <f>IF($J$3="",IF($B$21&gt;0,B7/$B$21,0),COMBIN($J$3,A7)*$L$3^A7*(1-$L$3)^($J$3-A7))</f>
        <v/>
      </c>
      <c r="F7">
        <f>IF($B$21&gt;0,B7/$B$21,0)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3475</v>
      </c>
      <c r="C8" t="n">
        <v>0</v>
      </c>
      <c r="D8">
        <f>C8/$H$3</f>
        <v/>
      </c>
      <c r="E8">
        <f>IF($J$3="",IF($B$21&gt;0,B8/$B$21,0),COMBIN($J$3,A8)*$L$3^A8*(1-$L$3)^($J$3-A8))</f>
        <v/>
      </c>
      <c r="F8">
        <f>IF($B$21&gt;0,B8/$B$21,0)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53953</v>
      </c>
      <c r="C9" t="n">
        <v>0</v>
      </c>
      <c r="D9">
        <f>C9/$H$3</f>
        <v/>
      </c>
      <c r="E9">
        <f>IF($J$3="",IF($B$21&gt;0,B9/$B$21,0),COMBIN($J$3,A9)*$L$3^A9*(1-$L$3)^($J$3-A9))</f>
        <v/>
      </c>
      <c r="F9">
        <f>IF($B$21&gt;0,B9/$B$21,0)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507715</v>
      </c>
      <c r="C10" t="n">
        <v>0</v>
      </c>
      <c r="D10">
        <f>C10/$H$3</f>
        <v/>
      </c>
      <c r="E10">
        <f>IF($J$3="",IF($B$21&gt;0,B10/$B$21,0),COMBIN($J$3,A10)*$L$3^A10*(1-$L$3)^($J$3-A10))</f>
        <v/>
      </c>
      <c r="F10">
        <f>IF($B$21&gt;0,B10/$B$21,0)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3224982</v>
      </c>
      <c r="C11" t="n">
        <v>0</v>
      </c>
      <c r="D11">
        <f>C11/$H$3</f>
        <v/>
      </c>
      <c r="E11">
        <f>IF($J$3="",IF($B$21&gt;0,B11/$B$21,0),COMBIN($J$3,A11)*$L$3^A11*(1-$L$3)^($J$3-A11))</f>
        <v/>
      </c>
      <c r="F11">
        <f>IF($B$21&gt;0,B11/$B$21,0)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14567082</v>
      </c>
      <c r="C12" t="n">
        <v>0</v>
      </c>
      <c r="D12">
        <f>C12/$H$3</f>
        <v/>
      </c>
      <c r="E12">
        <f>IF($J$3="",IF($B$21&gt;0,B12/$B$21,0),COMBIN($J$3,A12)*$L$3^A12*(1-$L$3)^($J$3-A12))</f>
        <v/>
      </c>
      <c r="F12">
        <f>IF($B$21&gt;0,B12/$B$21,0)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47978271</v>
      </c>
      <c r="C13" t="n">
        <v>0</v>
      </c>
      <c r="D13">
        <f>C13/$H$3</f>
        <v/>
      </c>
      <c r="E13">
        <f>IF($J$3="",IF($B$21&gt;0,B13/$B$21,0),COMBIN($J$3,A13)*$L$3^A13*(1-$L$3)^($J$3-A13))</f>
        <v/>
      </c>
      <c r="F13">
        <f>IF($B$21&gt;0,B13/$B$21,0)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116097545</v>
      </c>
      <c r="C14" t="n">
        <v>0</v>
      </c>
      <c r="D14">
        <f>C14/$H$3</f>
        <v/>
      </c>
      <c r="E14">
        <f>IF($J$3="",IF($B$21&gt;0,B14/$B$21,0),COMBIN($J$3,A14)*$L$3^A14*(1-$L$3)^($J$3-A14))</f>
        <v/>
      </c>
      <c r="F14">
        <f>IF($B$21&gt;0,B14/$B$21,0)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204846376</v>
      </c>
      <c r="C15" t="n">
        <v>0</v>
      </c>
      <c r="D15">
        <f>C15/$H$3</f>
        <v/>
      </c>
      <c r="E15">
        <f>IF($J$3="",IF($B$21&gt;0,B15/$B$21,0),COMBIN($J$3,A15)*$L$3^A15*(1-$L$3)^($J$3-A15))</f>
        <v/>
      </c>
      <c r="F15">
        <f>IF($B$21&gt;0,B15/$B$21,0)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257022416</v>
      </c>
      <c r="C16" t="n">
        <v>5</v>
      </c>
      <c r="D16">
        <f>C16/$H$3</f>
        <v/>
      </c>
      <c r="E16">
        <f>IF($J$3="",IF($B$21&gt;0,B16/$B$21,0),COMBIN($J$3,A16)*$L$3^A16*(1-$L$3)^($J$3-A16))</f>
        <v/>
      </c>
      <c r="F16">
        <f>IF($B$21&gt;0,B16/$B$21,0)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217679479</v>
      </c>
      <c r="C17" t="n">
        <v>189</v>
      </c>
      <c r="D17">
        <f>C17/$H$3</f>
        <v/>
      </c>
      <c r="E17">
        <f>IF($J$3="",IF($B$21&gt;0,B17/$B$21,0),COMBIN($J$3,A17)*$L$3^A17*(1-$L$3)^($J$3-A17))</f>
        <v/>
      </c>
      <c r="F17">
        <f>IF($B$21&gt;0,B17/$B$21,0)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111732633</v>
      </c>
      <c r="C18" t="n">
        <v>7866</v>
      </c>
      <c r="D18">
        <f>C18/$H$3</f>
        <v/>
      </c>
      <c r="E18">
        <f>IF($J$3="",IF($B$21&gt;0,B18/$B$21,0),COMBIN($J$3,A18)*$L$3^A18*(1-$L$3)^($J$3-A18))</f>
        <v/>
      </c>
      <c r="F18">
        <f>IF($B$21&gt;0,B18/$B$21,0)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26285996</v>
      </c>
      <c r="C19" t="n">
        <v>326700</v>
      </c>
      <c r="D19">
        <f>C19/$H$3</f>
        <v/>
      </c>
      <c r="E19">
        <f>IF($J$3="",IF($B$21&gt;0,B19/$B$21,0),COMBIN($J$3,A19)*$L$3^A19*(1-$L$3)^($J$3-A19))</f>
        <v/>
      </c>
      <c r="F19">
        <f>IF($B$21&gt;0,B19/$B$21,0)</f>
        <v/>
      </c>
      <c r="G19">
        <f>E19-F19</f>
        <v/>
      </c>
      <c r="H19">
        <f>D19*E19</f>
        <v/>
      </c>
      <c r="I19">
        <f>I18+E19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MAX(ABS(G7:G19))</f>
        <v/>
      </c>
      <c r="H21">
        <f>SUM(H7:H19)</f>
        <v/>
      </c>
      <c r="I21">
        <f>IF($B$3&gt;0,H21/$B$3,0)</f>
        <v/>
      </c>
      <c r="J21">
        <f>IF($D$3="","N/A",ABS(I21-$D$3)&lt;=$F$3)</f>
        <v/>
      </c>
    </row>
    <row r="22">
      <c r="A22" t="inlineStr">
        <is>
          <t>rtp_drift</t>
        </is>
      </c>
      <c r="B22">
        <f>IF($D$3="","",I21-$D$3)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buy100_medium_13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13</v>
      </c>
      <c r="K3" t="inlineStr">
        <is>
          <t>p_right</t>
        </is>
      </c>
      <c r="L3" t="n">
        <v>0.73987876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25</v>
      </c>
      <c r="C7" t="n">
        <v>0</v>
      </c>
      <c r="D7">
        <f>C7/$H$3</f>
        <v/>
      </c>
      <c r="E7">
        <f>IF($J$3="",IF($B$22&gt;0,B7/$B$22,0),COMBIN($J$3,A7)*$L$3^A7*(1-$L$3)^($J$3-A7))</f>
        <v/>
      </c>
      <c r="F7">
        <f>IF($B$22&gt;0,B7/$B$22,0)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923</v>
      </c>
      <c r="C8" t="n">
        <v>0</v>
      </c>
      <c r="D8">
        <f>C8/$H$3</f>
        <v/>
      </c>
      <c r="E8">
        <f>IF($J$3="",IF($B$22&gt;0,B8/$B$22,0),COMBIN($J$3,A8)*$L$3^A8*(1-$L$3)^($J$3-A8))</f>
        <v/>
      </c>
      <c r="F8">
        <f>IF($B$22&gt;0,B8/$B$22,0)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15753</v>
      </c>
      <c r="C9" t="n">
        <v>0</v>
      </c>
      <c r="D9">
        <f>C9/$H$3</f>
        <v/>
      </c>
      <c r="E9">
        <f>IF($J$3="",IF($B$22&gt;0,B9/$B$22,0),COMBIN($J$3,A9)*$L$3^A9*(1-$L$3)^($J$3-A9))</f>
        <v/>
      </c>
      <c r="F9">
        <f>IF($B$22&gt;0,B9/$B$22,0)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164288</v>
      </c>
      <c r="C10" t="n">
        <v>0</v>
      </c>
      <c r="D10">
        <f>C10/$H$3</f>
        <v/>
      </c>
      <c r="E10">
        <f>IF($J$3="",IF($B$22&gt;0,B10/$B$22,0),COMBIN($J$3,A10)*$L$3^A10*(1-$L$3)^($J$3-A10))</f>
        <v/>
      </c>
      <c r="F10">
        <f>IF($B$22&gt;0,B10/$B$22,0)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1168236</v>
      </c>
      <c r="C11" t="n">
        <v>0</v>
      </c>
      <c r="D11">
        <f>C11/$H$3</f>
        <v/>
      </c>
      <c r="E11">
        <f>IF($J$3="",IF($B$22&gt;0,B11/$B$22,0),COMBIN($J$3,A11)*$L$3^A11*(1-$L$3)^($J$3-A11))</f>
        <v/>
      </c>
      <c r="F11">
        <f>IF($B$22&gt;0,B11/$B$22,0)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5981193</v>
      </c>
      <c r="C12" t="n">
        <v>0</v>
      </c>
      <c r="D12">
        <f>C12/$H$3</f>
        <v/>
      </c>
      <c r="E12">
        <f>IF($J$3="",IF($B$22&gt;0,B12/$B$22,0),COMBIN($J$3,A12)*$L$3^A12*(1-$L$3)^($J$3-A12))</f>
        <v/>
      </c>
      <c r="F12">
        <f>IF($B$22&gt;0,B12/$B$22,0)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22683566</v>
      </c>
      <c r="C13" t="n">
        <v>0</v>
      </c>
      <c r="D13">
        <f>C13/$H$3</f>
        <v/>
      </c>
      <c r="E13">
        <f>IF($J$3="",IF($B$22&gt;0,B13/$B$22,0),COMBIN($J$3,A13)*$L$3^A13*(1-$L$3)^($J$3-A13))</f>
        <v/>
      </c>
      <c r="F13">
        <f>IF($B$22&gt;0,B13/$B$22,0)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64520255</v>
      </c>
      <c r="C14" t="n">
        <v>0</v>
      </c>
      <c r="D14">
        <f>C14/$H$3</f>
        <v/>
      </c>
      <c r="E14">
        <f>IF($J$3="",IF($B$22&gt;0,B14/$B$22,0),COMBIN($J$3,A14)*$L$3^A14*(1-$L$3)^($J$3-A14))</f>
        <v/>
      </c>
      <c r="F14">
        <f>IF($B$22&gt;0,B14/$B$22,0)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137639185</v>
      </c>
      <c r="C15" t="n">
        <v>0</v>
      </c>
      <c r="D15">
        <f>C15/$H$3</f>
        <v/>
      </c>
      <c r="E15">
        <f>IF($J$3="",IF($B$22&gt;0,B15/$B$22,0),COMBIN($J$3,A15)*$L$3^A15*(1-$L$3)^($J$3-A15))</f>
        <v/>
      </c>
      <c r="F15">
        <f>IF($B$22&gt;0,B15/$B$22,0)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217497535</v>
      </c>
      <c r="C16" t="n">
        <v>0</v>
      </c>
      <c r="D16">
        <f>C16/$H$3</f>
        <v/>
      </c>
      <c r="E16">
        <f>IF($J$3="",IF($B$22&gt;0,B16/$B$22,0),COMBIN($J$3,A16)*$L$3^A16*(1-$L$3)^($J$3-A16))</f>
        <v/>
      </c>
      <c r="F16">
        <f>IF($B$22&gt;0,B16/$B$22,0)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247456624</v>
      </c>
      <c r="C17" t="n">
        <v>7</v>
      </c>
      <c r="D17">
        <f>C17/$H$3</f>
        <v/>
      </c>
      <c r="E17">
        <f>IF($J$3="",IF($B$22&gt;0,B17/$B$22,0),COMBIN($J$3,A17)*$L$3^A17*(1-$L$3)^($J$3-A17))</f>
        <v/>
      </c>
      <c r="F17">
        <f>IF($B$22&gt;0,B17/$B$22,0)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191960736</v>
      </c>
      <c r="C18" t="n">
        <v>272</v>
      </c>
      <c r="D18">
        <f>C18/$H$3</f>
        <v/>
      </c>
      <c r="E18">
        <f>IF($J$3="",IF($B$22&gt;0,B18/$B$22,0),COMBIN($J$3,A18)*$L$3^A18*(1-$L$3)^($J$3-A18))</f>
        <v/>
      </c>
      <c r="F18">
        <f>IF($B$22&gt;0,B18/$B$22,0)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91000946</v>
      </c>
      <c r="C19" t="n">
        <v>10758</v>
      </c>
      <c r="D19">
        <f>C19/$H$3</f>
        <v/>
      </c>
      <c r="E19">
        <f>IF($J$3="",IF($B$22&gt;0,B19/$B$22,0),COMBIN($J$3,A19)*$L$3^A19*(1-$L$3)^($J$3-A19))</f>
        <v/>
      </c>
      <c r="F19">
        <f>IF($B$22&gt;0,B19/$B$22,0)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19910774</v>
      </c>
      <c r="C20" t="n">
        <v>425700</v>
      </c>
      <c r="D20">
        <f>C20/$H$3</f>
        <v/>
      </c>
      <c r="E20">
        <f>IF($J$3="",IF($B$22&gt;0,B20/$B$22,0),COMBIN($J$3,A20)*$L$3^A20*(1-$L$3)^($J$3-A20))</f>
        <v/>
      </c>
      <c r="F20">
        <f>IF($B$22&gt;0,B20/$B$22,0)</f>
        <v/>
      </c>
      <c r="G20">
        <f>E20-F20</f>
        <v/>
      </c>
      <c r="H20">
        <f>D20*E20</f>
        <v/>
      </c>
      <c r="I20">
        <f>I19+E20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MAX(ABS(G7:G20))</f>
        <v/>
      </c>
      <c r="H22">
        <f>SUM(H7:H20)</f>
        <v/>
      </c>
      <c r="I22">
        <f>IF($B$3&gt;0,H22/$B$3,0)</f>
        <v/>
      </c>
      <c r="J22">
        <f>IF($D$3="","N/A",ABS(I22-$D$3)&lt;=$F$3)</f>
        <v/>
      </c>
    </row>
    <row r="23">
      <c r="A23" t="inlineStr">
        <is>
          <t>rtp_drift</t>
        </is>
      </c>
      <c r="B23">
        <f>IF($D$3="","",I22-$D$3)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buy100_medium_14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14</v>
      </c>
      <c r="K3" t="inlineStr">
        <is>
          <t>p_right</t>
        </is>
      </c>
      <c r="L3" t="n">
        <v>0.71916921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19</v>
      </c>
      <c r="C7" t="n">
        <v>0</v>
      </c>
      <c r="D7">
        <f>C7/$H$3</f>
        <v/>
      </c>
      <c r="E7">
        <f>IF($J$3="",IF($B$23&gt;0,B7/$B$23,0),COMBIN($J$3,A7)*$L$3^A7*(1-$L$3)^($J$3-A7))</f>
        <v/>
      </c>
      <c r="F7">
        <f>IF($B$23&gt;0,B7/$B$23,0)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680</v>
      </c>
      <c r="C8" t="n">
        <v>0</v>
      </c>
      <c r="D8">
        <f>C8/$H$3</f>
        <v/>
      </c>
      <c r="E8">
        <f>IF($J$3="",IF($B$23&gt;0,B8/$B$23,0),COMBIN($J$3,A8)*$L$3^A8*(1-$L$3)^($J$3-A8))</f>
        <v/>
      </c>
      <c r="F8">
        <f>IF($B$23&gt;0,B8/$B$23,0)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11325</v>
      </c>
      <c r="C9" t="n">
        <v>0</v>
      </c>
      <c r="D9">
        <f>C9/$H$3</f>
        <v/>
      </c>
      <c r="E9">
        <f>IF($J$3="",IF($B$23&gt;0,B9/$B$23,0),COMBIN($J$3,A9)*$L$3^A9*(1-$L$3)^($J$3-A9))</f>
        <v/>
      </c>
      <c r="F9">
        <f>IF($B$23&gt;0,B9/$B$23,0)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116008</v>
      </c>
      <c r="C10" t="n">
        <v>0</v>
      </c>
      <c r="D10">
        <f>C10/$H$3</f>
        <v/>
      </c>
      <c r="E10">
        <f>IF($J$3="",IF($B$23&gt;0,B10/$B$23,0),COMBIN($J$3,A10)*$L$3^A10*(1-$L$3)^($J$3-A10))</f>
        <v/>
      </c>
      <c r="F10">
        <f>IF($B$23&gt;0,B10/$B$23,0)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816969</v>
      </c>
      <c r="C11" t="n">
        <v>0</v>
      </c>
      <c r="D11">
        <f>C11/$H$3</f>
        <v/>
      </c>
      <c r="E11">
        <f>IF($J$3="",IF($B$23&gt;0,B11/$B$23,0),COMBIN($J$3,A11)*$L$3^A11*(1-$L$3)^($J$3-A11))</f>
        <v/>
      </c>
      <c r="F11">
        <f>IF($B$23&gt;0,B11/$B$23,0)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4184292</v>
      </c>
      <c r="C12" t="n">
        <v>0</v>
      </c>
      <c r="D12">
        <f>C12/$H$3</f>
        <v/>
      </c>
      <c r="E12">
        <f>IF($J$3="",IF($B$23&gt;0,B12/$B$23,0),COMBIN($J$3,A12)*$L$3^A12*(1-$L$3)^($J$3-A12))</f>
        <v/>
      </c>
      <c r="F12">
        <f>IF($B$23&gt;0,B12/$B$23,0)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16073099</v>
      </c>
      <c r="C13" t="n">
        <v>0</v>
      </c>
      <c r="D13">
        <f>C13/$H$3</f>
        <v/>
      </c>
      <c r="E13">
        <f>IF($J$3="",IF($B$23&gt;0,B13/$B$23,0),COMBIN($J$3,A13)*$L$3^A13*(1-$L$3)^($J$3-A13))</f>
        <v/>
      </c>
      <c r="F13">
        <f>IF($B$23&gt;0,B13/$B$23,0)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47041150</v>
      </c>
      <c r="C14" t="n">
        <v>0</v>
      </c>
      <c r="D14">
        <f>C14/$H$3</f>
        <v/>
      </c>
      <c r="E14">
        <f>IF($J$3="",IF($B$23&gt;0,B14/$B$23,0),COMBIN($J$3,A14)*$L$3^A14*(1-$L$3)^($J$3-A14))</f>
        <v/>
      </c>
      <c r="F14">
        <f>IF($B$23&gt;0,B14/$B$23,0)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105407703</v>
      </c>
      <c r="C15" t="n">
        <v>0</v>
      </c>
      <c r="D15">
        <f>C15/$H$3</f>
        <v/>
      </c>
      <c r="E15">
        <f>IF($J$3="",IF($B$23&gt;0,B15/$B$23,0),COMBIN($J$3,A15)*$L$3^A15*(1-$L$3)^($J$3-A15))</f>
        <v/>
      </c>
      <c r="F15">
        <f>IF($B$23&gt;0,B15/$B$23,0)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179956465</v>
      </c>
      <c r="C16" t="n">
        <v>5</v>
      </c>
      <c r="D16">
        <f>C16/$H$3</f>
        <v/>
      </c>
      <c r="E16">
        <f>IF($J$3="",IF($B$23&gt;0,B16/$B$23,0),COMBIN($J$3,A16)*$L$3^A16*(1-$L$3)^($J$3-A16))</f>
        <v/>
      </c>
      <c r="F16">
        <f>IF($B$23&gt;0,B16/$B$23,0)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230421935</v>
      </c>
      <c r="C17" t="n">
        <v>48</v>
      </c>
      <c r="D17">
        <f>C17/$H$3</f>
        <v/>
      </c>
      <c r="E17">
        <f>IF($J$3="",IF($B$23&gt;0,B17/$B$23,0),COMBIN($J$3,A17)*$L$3^A17*(1-$L$3)^($J$3-A17))</f>
        <v/>
      </c>
      <c r="F17">
        <f>IF($B$23&gt;0,B17/$B$23,0)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214574194</v>
      </c>
      <c r="C18" t="n">
        <v>506</v>
      </c>
      <c r="D18">
        <f>C18/$H$3</f>
        <v/>
      </c>
      <c r="E18">
        <f>IF($J$3="",IF($B$23&gt;0,B18/$B$23,0),COMBIN($J$3,A18)*$L$3^A18*(1-$L$3)^($J$3-A18))</f>
        <v/>
      </c>
      <c r="F18">
        <f>IF($B$23&gt;0,B18/$B$23,0)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137373784</v>
      </c>
      <c r="C19" t="n">
        <v>5276</v>
      </c>
      <c r="D19">
        <f>C19/$H$3</f>
        <v/>
      </c>
      <c r="E19">
        <f>IF($J$3="",IF($B$23&gt;0,B19/$B$23,0),COMBIN($J$3,A19)*$L$3^A19*(1-$L$3)^($J$3-A19))</f>
        <v/>
      </c>
      <c r="F19">
        <f>IF($B$23&gt;0,B19/$B$23,0)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54122378</v>
      </c>
      <c r="C20" t="n">
        <v>55042</v>
      </c>
      <c r="D20">
        <f>C20/$H$3</f>
        <v/>
      </c>
      <c r="E20">
        <f>IF($J$3="",IF($B$23&gt;0,B20/$B$23,0),COMBIN($J$3,A20)*$L$3^A20*(1-$L$3)^($J$3-A20))</f>
        <v/>
      </c>
      <c r="F20">
        <f>IF($B$23&gt;0,B20/$B$23,0)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9900084</v>
      </c>
      <c r="C21" t="n">
        <v>574200</v>
      </c>
      <c r="D21">
        <f>C21/$H$3</f>
        <v/>
      </c>
      <c r="E21">
        <f>IF($J$3="",IF($B$23&gt;0,B21/$B$23,0),COMBIN($J$3,A21)*$L$3^A21*(1-$L$3)^($J$3-A21))</f>
        <v/>
      </c>
      <c r="F21">
        <f>IF($B$23&gt;0,B21/$B$23,0)</f>
        <v/>
      </c>
      <c r="G21">
        <f>E21-F21</f>
        <v/>
      </c>
      <c r="H21">
        <f>D21*E21</f>
        <v/>
      </c>
      <c r="I21">
        <f>I20+E21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MAX(ABS(G7:G21))</f>
        <v/>
      </c>
      <c r="H23">
        <f>SUM(H7:H21)</f>
        <v/>
      </c>
      <c r="I23">
        <f>IF($B$3&gt;0,H23/$B$3,0)</f>
        <v/>
      </c>
      <c r="J23">
        <f>IF($D$3="","N/A",ABS(I23-$D$3)&lt;=$F$3)</f>
        <v/>
      </c>
    </row>
    <row r="24">
      <c r="A24" t="inlineStr">
        <is>
          <t>rtp_drift</t>
        </is>
      </c>
      <c r="B24">
        <f>IF($D$3="","",I23-$D$3)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buy100_medium_15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15</v>
      </c>
      <c r="K3" t="inlineStr">
        <is>
          <t>p_right</t>
        </is>
      </c>
      <c r="L3" t="n">
        <v>0.69302792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20</v>
      </c>
      <c r="C7" t="n">
        <v>0</v>
      </c>
      <c r="D7">
        <f>C7/$H$3</f>
        <v/>
      </c>
      <c r="E7">
        <f>IF($J$3="",IF($B$24&gt;0,B7/$B$24,0),COMBIN($J$3,A7)*$L$3^A7*(1-$L$3)^($J$3-A7))</f>
        <v/>
      </c>
      <c r="F7">
        <f>IF($B$24&gt;0,B7/$B$24,0)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686</v>
      </c>
      <c r="C8" t="n">
        <v>0</v>
      </c>
      <c r="D8">
        <f>C8/$H$3</f>
        <v/>
      </c>
      <c r="E8">
        <f>IF($J$3="",IF($B$24&gt;0,B8/$B$24,0),COMBIN($J$3,A8)*$L$3^A8*(1-$L$3)^($J$3-A8))</f>
        <v/>
      </c>
      <c r="F8">
        <f>IF($B$24&gt;0,B8/$B$24,0)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10839</v>
      </c>
      <c r="C9" t="n">
        <v>0</v>
      </c>
      <c r="D9">
        <f>C9/$H$3</f>
        <v/>
      </c>
      <c r="E9">
        <f>IF($J$3="",IF($B$24&gt;0,B9/$B$24,0),COMBIN($J$3,A9)*$L$3^A9*(1-$L$3)^($J$3-A9))</f>
        <v/>
      </c>
      <c r="F9">
        <f>IF($B$24&gt;0,B9/$B$24,0)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106035</v>
      </c>
      <c r="C10" t="n">
        <v>0</v>
      </c>
      <c r="D10">
        <f>C10/$H$3</f>
        <v/>
      </c>
      <c r="E10">
        <f>IF($J$3="",IF($B$24&gt;0,B10/$B$24,0),COMBIN($J$3,A10)*$L$3^A10*(1-$L$3)^($J$3-A10))</f>
        <v/>
      </c>
      <c r="F10">
        <f>IF($B$24&gt;0,B10/$B$24,0)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718163</v>
      </c>
      <c r="C11" t="n">
        <v>0</v>
      </c>
      <c r="D11">
        <f>C11/$H$3</f>
        <v/>
      </c>
      <c r="E11">
        <f>IF($J$3="",IF($B$24&gt;0,B11/$B$24,0),COMBIN($J$3,A11)*$L$3^A11*(1-$L$3)^($J$3-A11))</f>
        <v/>
      </c>
      <c r="F11">
        <f>IF($B$24&gt;0,B11/$B$24,0)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3566956</v>
      </c>
      <c r="C12" t="n">
        <v>0</v>
      </c>
      <c r="D12">
        <f>C12/$H$3</f>
        <v/>
      </c>
      <c r="E12">
        <f>IF($J$3="",IF($B$24&gt;0,B12/$B$24,0),COMBIN($J$3,A12)*$L$3^A12*(1-$L$3)^($J$3-A12))</f>
        <v/>
      </c>
      <c r="F12">
        <f>IF($B$24&gt;0,B12/$B$24,0)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13421416</v>
      </c>
      <c r="C13" t="n">
        <v>0</v>
      </c>
      <c r="D13">
        <f>C13/$H$3</f>
        <v/>
      </c>
      <c r="E13">
        <f>IF($J$3="",IF($B$24&gt;0,B13/$B$24,0),COMBIN($J$3,A13)*$L$3^A13*(1-$L$3)^($J$3-A13))</f>
        <v/>
      </c>
      <c r="F13">
        <f>IF($B$24&gt;0,B13/$B$24,0)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38957823</v>
      </c>
      <c r="C14" t="n">
        <v>0</v>
      </c>
      <c r="D14">
        <f>C14/$H$3</f>
        <v/>
      </c>
      <c r="E14">
        <f>IF($J$3="",IF($B$24&gt;0,B14/$B$24,0),COMBIN($J$3,A14)*$L$3^A14*(1-$L$3)^($J$3-A14))</f>
        <v/>
      </c>
      <c r="F14">
        <f>IF($B$24&gt;0,B14/$B$24,0)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87952165</v>
      </c>
      <c r="C15" t="n">
        <v>2</v>
      </c>
      <c r="D15">
        <f>C15/$H$3</f>
        <v/>
      </c>
      <c r="E15">
        <f>IF($J$3="",IF($B$24&gt;0,B15/$B$24,0),COMBIN($J$3,A15)*$L$3^A15*(1-$L$3)^($J$3-A15))</f>
        <v/>
      </c>
      <c r="F15">
        <f>IF($B$24&gt;0,B15/$B$24,0)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154437912</v>
      </c>
      <c r="C16" t="n">
        <v>11</v>
      </c>
      <c r="D16">
        <f>C16/$H$3</f>
        <v/>
      </c>
      <c r="E16">
        <f>IF($J$3="",IF($B$24&gt;0,B16/$B$24,0),COMBIN($J$3,A16)*$L$3^A16*(1-$L$3)^($J$3-A16))</f>
        <v/>
      </c>
      <c r="F16">
        <f>IF($B$24&gt;0,B16/$B$24,0)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209197760</v>
      </c>
      <c r="C17" t="n">
        <v>73</v>
      </c>
      <c r="D17">
        <f>C17/$H$3</f>
        <v/>
      </c>
      <c r="E17">
        <f>IF($J$3="",IF($B$24&gt;0,B17/$B$24,0),COMBIN($J$3,A17)*$L$3^A17*(1-$L$3)^($J$3-A17))</f>
        <v/>
      </c>
      <c r="F17">
        <f>IF($B$24&gt;0,B17/$B$24,0)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214677340</v>
      </c>
      <c r="C18" t="n">
        <v>475</v>
      </c>
      <c r="D18">
        <f>C18/$H$3</f>
        <v/>
      </c>
      <c r="E18">
        <f>IF($J$3="",IF($B$24&gt;0,B18/$B$24,0),COMBIN($J$3,A18)*$L$3^A18*(1-$L$3)^($J$3-A18))</f>
        <v/>
      </c>
      <c r="F18">
        <f>IF($B$24&gt;0,B18/$B$24,0)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161553663</v>
      </c>
      <c r="C19" t="n">
        <v>3111</v>
      </c>
      <c r="D19">
        <f>C19/$H$3</f>
        <v/>
      </c>
      <c r="E19">
        <f>IF($J$3="",IF($B$24&gt;0,B19/$B$24,0),COMBIN($J$3,A19)*$L$3^A19*(1-$L$3)^($J$3-A19))</f>
        <v/>
      </c>
      <c r="F19">
        <f>IF($B$24&gt;0,B19/$B$24,0)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84167915</v>
      </c>
      <c r="C20" t="n">
        <v>20353</v>
      </c>
      <c r="D20">
        <f>C20/$H$3</f>
        <v/>
      </c>
      <c r="E20">
        <f>IF($J$3="",IF($B$24&gt;0,B20/$B$24,0),COMBIN($J$3,A20)*$L$3^A20*(1-$L$3)^($J$3-A20))</f>
        <v/>
      </c>
      <c r="F20">
        <f>IF($B$24&gt;0,B20/$B$24,0)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27145659</v>
      </c>
      <c r="C21" t="n">
        <v>133160</v>
      </c>
      <c r="D21">
        <f>C21/$H$3</f>
        <v/>
      </c>
      <c r="E21">
        <f>IF($J$3="",IF($B$24&gt;0,B21/$B$24,0),COMBIN($J$3,A21)*$L$3^A21*(1-$L$3)^($J$3-A21))</f>
        <v/>
      </c>
      <c r="F21">
        <f>IF($B$24&gt;0,B21/$B$24,0)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4085690</v>
      </c>
      <c r="C22" t="n">
        <v>871200</v>
      </c>
      <c r="D22">
        <f>C22/$H$3</f>
        <v/>
      </c>
      <c r="E22">
        <f>IF($J$3="",IF($B$24&gt;0,B22/$B$24,0),COMBIN($J$3,A22)*$L$3^A22*(1-$L$3)^($J$3-A22))</f>
        <v/>
      </c>
      <c r="F22">
        <f>IF($B$24&gt;0,B22/$B$24,0)</f>
        <v/>
      </c>
      <c r="G22">
        <f>E22-F22</f>
        <v/>
      </c>
      <c r="H22">
        <f>D22*E22</f>
        <v/>
      </c>
      <c r="I22">
        <f>I21+E22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MAX(ABS(G7:G22))</f>
        <v/>
      </c>
      <c r="H24">
        <f>SUM(H7:H22)</f>
        <v/>
      </c>
      <c r="I24">
        <f>IF($B$3&gt;0,H24/$B$3,0)</f>
        <v/>
      </c>
      <c r="J24">
        <f>IF($D$3="","N/A",ABS(I24-$D$3)&lt;=$F$3)</f>
        <v/>
      </c>
    </row>
    <row r="25">
      <c r="A25" t="inlineStr">
        <is>
          <t>rtp_drift</t>
        </is>
      </c>
      <c r="B25">
        <f>IF($D$3="","",I24-$D$3)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buy100_medium_16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16</v>
      </c>
      <c r="K3" t="inlineStr">
        <is>
          <t>p_right</t>
        </is>
      </c>
      <c r="L3" t="n">
        <v>0.68558416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9</v>
      </c>
      <c r="C7" t="n">
        <v>0</v>
      </c>
      <c r="D7">
        <f>C7/$H$3</f>
        <v/>
      </c>
      <c r="E7">
        <f>IF($J$3="",IF($B$25&gt;0,B7/$B$25,0),COMBIN($J$3,A7)*$L$3^A7*(1-$L$3)^($J$3-A7))</f>
        <v/>
      </c>
      <c r="F7">
        <f>IF($B$25&gt;0,B7/$B$25,0)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318</v>
      </c>
      <c r="C8" t="n">
        <v>0</v>
      </c>
      <c r="D8">
        <f>C8/$H$3</f>
        <v/>
      </c>
      <c r="E8">
        <f>IF($J$3="",IF($B$25&gt;0,B8/$B$25,0),COMBIN($J$3,A8)*$L$3^A8*(1-$L$3)^($J$3-A8))</f>
        <v/>
      </c>
      <c r="F8">
        <f>IF($B$25&gt;0,B8/$B$25,0)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5204</v>
      </c>
      <c r="C9" t="n">
        <v>0</v>
      </c>
      <c r="D9">
        <f>C9/$H$3</f>
        <v/>
      </c>
      <c r="E9">
        <f>IF($J$3="",IF($B$25&gt;0,B9/$B$25,0),COMBIN($J$3,A9)*$L$3^A9*(1-$L$3)^($J$3-A9))</f>
        <v/>
      </c>
      <c r="F9">
        <f>IF($B$25&gt;0,B9/$B$25,0)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52958</v>
      </c>
      <c r="C10" t="n">
        <v>0</v>
      </c>
      <c r="D10">
        <f>C10/$H$3</f>
        <v/>
      </c>
      <c r="E10">
        <f>IF($J$3="",IF($B$25&gt;0,B10/$B$25,0),COMBIN($J$3,A10)*$L$3^A10*(1-$L$3)^($J$3-A10))</f>
        <v/>
      </c>
      <c r="F10">
        <f>IF($B$25&gt;0,B10/$B$25,0)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375290</v>
      </c>
      <c r="C11" t="n">
        <v>0</v>
      </c>
      <c r="D11">
        <f>C11/$H$3</f>
        <v/>
      </c>
      <c r="E11">
        <f>IF($J$3="",IF($B$25&gt;0,B11/$B$25,0),COMBIN($J$3,A11)*$L$3^A11*(1-$L$3)^($J$3-A11))</f>
        <v/>
      </c>
      <c r="F11">
        <f>IF($B$25&gt;0,B11/$B$25,0)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1963971</v>
      </c>
      <c r="C12" t="n">
        <v>0</v>
      </c>
      <c r="D12">
        <f>C12/$H$3</f>
        <v/>
      </c>
      <c r="E12">
        <f>IF($J$3="",IF($B$25&gt;0,B12/$B$25,0),COMBIN($J$3,A12)*$L$3^A12*(1-$L$3)^($J$3-A12))</f>
        <v/>
      </c>
      <c r="F12">
        <f>IF($B$25&gt;0,B12/$B$25,0)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7851143</v>
      </c>
      <c r="C13" t="n">
        <v>0</v>
      </c>
      <c r="D13">
        <f>C13/$H$3</f>
        <v/>
      </c>
      <c r="E13">
        <f>IF($J$3="",IF($B$25&gt;0,B13/$B$25,0),COMBIN($J$3,A13)*$L$3^A13*(1-$L$3)^($J$3-A13))</f>
        <v/>
      </c>
      <c r="F13">
        <f>IF($B$25&gt;0,B13/$B$25,0)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24456326</v>
      </c>
      <c r="C14" t="n">
        <v>0</v>
      </c>
      <c r="D14">
        <f>C14/$H$3</f>
        <v/>
      </c>
      <c r="E14">
        <f>IF($J$3="",IF($B$25&gt;0,B14/$B$25,0),COMBIN($J$3,A14)*$L$3^A14*(1-$L$3)^($J$3-A14))</f>
        <v/>
      </c>
      <c r="F14">
        <f>IF($B$25&gt;0,B14/$B$25,0)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59992933</v>
      </c>
      <c r="C15" t="n">
        <v>1</v>
      </c>
      <c r="D15">
        <f>C15/$H$3</f>
        <v/>
      </c>
      <c r="E15">
        <f>IF($J$3="",IF($B$25&gt;0,B15/$B$25,0),COMBIN($J$3,A15)*$L$3^A15*(1-$L$3)^($J$3-A15))</f>
        <v/>
      </c>
      <c r="F15">
        <f>IF($B$25&gt;0,B15/$B$25,0)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116279706</v>
      </c>
      <c r="C16" t="n">
        <v>8</v>
      </c>
      <c r="D16">
        <f>C16/$H$3</f>
        <v/>
      </c>
      <c r="E16">
        <f>IF($J$3="",IF($B$25&gt;0,B16/$B$25,0),COMBIN($J$3,A16)*$L$3^A16*(1-$L$3)^($J$3-A16))</f>
        <v/>
      </c>
      <c r="F16">
        <f>IF($B$25&gt;0,B16/$B$25,0)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177483637</v>
      </c>
      <c r="C17" t="n">
        <v>43</v>
      </c>
      <c r="D17">
        <f>C17/$H$3</f>
        <v/>
      </c>
      <c r="E17">
        <f>IF($J$3="",IF($B$25&gt;0,B17/$B$25,0),COMBIN($J$3,A17)*$L$3^A17*(1-$L$3)^($J$3-A17))</f>
        <v/>
      </c>
      <c r="F17">
        <f>IF($B$25&gt;0,B17/$B$25,0)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211092712</v>
      </c>
      <c r="C18" t="n">
        <v>232</v>
      </c>
      <c r="D18">
        <f>C18/$H$3</f>
        <v/>
      </c>
      <c r="E18">
        <f>IF($J$3="",IF($B$25&gt;0,B18/$B$25,0),COMBIN($J$3,A18)*$L$3^A18*(1-$L$3)^($J$3-A18))</f>
        <v/>
      </c>
      <c r="F18">
        <f>IF($B$25&gt;0,B18/$B$25,0)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191786641</v>
      </c>
      <c r="C19" t="n">
        <v>1259</v>
      </c>
      <c r="D19">
        <f>C19/$H$3</f>
        <v/>
      </c>
      <c r="E19">
        <f>IF($J$3="",IF($B$25&gt;0,B19/$B$25,0),COMBIN($J$3,A19)*$L$3^A19*(1-$L$3)^($J$3-A19))</f>
        <v/>
      </c>
      <c r="F19">
        <f>IF($B$25&gt;0,B19/$B$25,0)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128674162</v>
      </c>
      <c r="C20" t="n">
        <v>6829</v>
      </c>
      <c r="D20">
        <f>C20/$H$3</f>
        <v/>
      </c>
      <c r="E20">
        <f>IF($J$3="",IF($B$25&gt;0,B20/$B$25,0),COMBIN($J$3,A20)*$L$3^A20*(1-$L$3)^($J$3-A20))</f>
        <v/>
      </c>
      <c r="F20">
        <f>IF($B$25&gt;0,B20/$B$25,0)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60123039</v>
      </c>
      <c r="C21" t="n">
        <v>37033</v>
      </c>
      <c r="D21">
        <f>C21/$H$3</f>
        <v/>
      </c>
      <c r="E21">
        <f>IF($J$3="",IF($B$25&gt;0,B21/$B$25,0),COMBIN($J$3,A21)*$L$3^A21*(1-$L$3)^($J$3-A21))</f>
        <v/>
      </c>
      <c r="F21">
        <f>IF($B$25&gt;0,B21/$B$25,0)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17479782</v>
      </c>
      <c r="C22" t="n">
        <v>200821</v>
      </c>
      <c r="D22">
        <f>C22/$H$3</f>
        <v/>
      </c>
      <c r="E22">
        <f>IF($J$3="",IF($B$25&gt;0,B22/$B$25,0),COMBIN($J$3,A22)*$L$3^A22*(1-$L$3)^($J$3-A22))</f>
        <v/>
      </c>
      <c r="F22">
        <f>IF($B$25&gt;0,B22/$B$25,0)</f>
        <v/>
      </c>
      <c r="G22">
        <f>E22-F22</f>
        <v/>
      </c>
      <c r="H22">
        <f>D22*E22</f>
        <v/>
      </c>
      <c r="I22">
        <f>I21+E22</f>
        <v/>
      </c>
    </row>
    <row r="23">
      <c r="A23" t="n">
        <v>16</v>
      </c>
      <c r="B23" t="n">
        <v>2382311</v>
      </c>
      <c r="C23" t="n">
        <v>1089000</v>
      </c>
      <c r="D23">
        <f>C23/$H$3</f>
        <v/>
      </c>
      <c r="E23">
        <f>IF($J$3="",IF($B$25&gt;0,B23/$B$25,0),COMBIN($J$3,A23)*$L$3^A23*(1-$L$3)^($J$3-A23))</f>
        <v/>
      </c>
      <c r="F23">
        <f>IF($B$25&gt;0,B23/$B$25,0)</f>
        <v/>
      </c>
      <c r="G23">
        <f>E23-F23</f>
        <v/>
      </c>
      <c r="H23">
        <f>D23*E23</f>
        <v/>
      </c>
      <c r="I23">
        <f>I22+E23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MAX(ABS(G7:G23))</f>
        <v/>
      </c>
      <c r="H25">
        <f>SUM(H7:H23)</f>
        <v/>
      </c>
      <c r="I25">
        <f>IF($B$3&gt;0,H25/$B$3,0)</f>
        <v/>
      </c>
      <c r="J25">
        <f>IF($D$3="","N/A",ABS(I25-$D$3)&lt;=$F$3)</f>
        <v/>
      </c>
    </row>
    <row r="26">
      <c r="A26" t="inlineStr">
        <is>
          <t>rtp_drift</t>
        </is>
      </c>
      <c r="B26">
        <f>IF($D$3="","",I25-$D$3)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buy100_medium_8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8</v>
      </c>
      <c r="K3" t="inlineStr">
        <is>
          <t>p_right</t>
        </is>
      </c>
      <c r="L3" t="n">
        <v>0.71329448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45655</v>
      </c>
      <c r="C7" t="n">
        <v>0</v>
      </c>
      <c r="D7">
        <f>C7/$H$3</f>
        <v/>
      </c>
      <c r="E7">
        <f>IF($J$3="",IF($B$17&gt;0,B7/$B$17,0),COMBIN($J$3,A7)*$L$3^A7*(1-$L$3)^($J$3-A7))</f>
        <v/>
      </c>
      <c r="F7">
        <f>IF($B$17&gt;0,B7/$B$17,0)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908681</v>
      </c>
      <c r="C8" t="n">
        <v>0</v>
      </c>
      <c r="D8">
        <f>C8/$H$3</f>
        <v/>
      </c>
      <c r="E8">
        <f>IF($J$3="",IF($B$17&gt;0,B8/$B$17,0),COMBIN($J$3,A8)*$L$3^A8*(1-$L$3)^($J$3-A8))</f>
        <v/>
      </c>
      <c r="F8">
        <f>IF($B$17&gt;0,B8/$B$17,0)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7912470</v>
      </c>
      <c r="C9" t="n">
        <v>0</v>
      </c>
      <c r="D9">
        <f>C9/$H$3</f>
        <v/>
      </c>
      <c r="E9">
        <f>IF($J$3="",IF($B$17&gt;0,B9/$B$17,0),COMBIN($J$3,A9)*$L$3^A9*(1-$L$3)^($J$3-A9))</f>
        <v/>
      </c>
      <c r="F9">
        <f>IF($B$17&gt;0,B9/$B$17,0)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39370859</v>
      </c>
      <c r="C10" t="n">
        <v>0</v>
      </c>
      <c r="D10">
        <f>C10/$H$3</f>
        <v/>
      </c>
      <c r="E10">
        <f>IF($J$3="",IF($B$17&gt;0,B10/$B$17,0),COMBIN($J$3,A10)*$L$3^A10*(1-$L$3)^($J$3-A10))</f>
        <v/>
      </c>
      <c r="F10">
        <f>IF($B$17&gt;0,B10/$B$17,0)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122438419</v>
      </c>
      <c r="C11" t="n">
        <v>0</v>
      </c>
      <c r="D11">
        <f>C11/$H$3</f>
        <v/>
      </c>
      <c r="E11">
        <f>IF($J$3="",IF($B$17&gt;0,B11/$B$17,0),COMBIN($J$3,A11)*$L$3^A11*(1-$L$3)^($J$3-A11))</f>
        <v/>
      </c>
      <c r="F11">
        <f>IF($B$17&gt;0,B11/$B$17,0)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243691571</v>
      </c>
      <c r="C12" t="n">
        <v>4</v>
      </c>
      <c r="D12">
        <f>C12/$H$3</f>
        <v/>
      </c>
      <c r="E12">
        <f>IF($J$3="",IF($B$17&gt;0,B12/$B$17,0),COMBIN($J$3,A12)*$L$3^A12*(1-$L$3)^($J$3-A12))</f>
        <v/>
      </c>
      <c r="F12">
        <f>IF($B$17&gt;0,B12/$B$17,0)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303140051</v>
      </c>
      <c r="C13" t="n">
        <v>120</v>
      </c>
      <c r="D13">
        <f>C13/$H$3</f>
        <v/>
      </c>
      <c r="E13">
        <f>IF($J$3="",IF($B$17&gt;0,B13/$B$17,0),COMBIN($J$3,A13)*$L$3^A13*(1-$L$3)^($J$3-A13))</f>
        <v/>
      </c>
      <c r="F13">
        <f>IF($B$17&gt;0,B13/$B$17,0)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215480553</v>
      </c>
      <c r="C14" t="n">
        <v>3932</v>
      </c>
      <c r="D14">
        <f>C14/$H$3</f>
        <v/>
      </c>
      <c r="E14">
        <f>IF($J$3="",IF($B$17&gt;0,B14/$B$17,0),COMBIN($J$3,A14)*$L$3^A14*(1-$L$3)^($J$3-A14))</f>
        <v/>
      </c>
      <c r="F14">
        <f>IF($B$17&gt;0,B14/$B$17,0)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67011052</v>
      </c>
      <c r="C15" t="n">
        <v>128700</v>
      </c>
      <c r="D15">
        <f>C15/$H$3</f>
        <v/>
      </c>
      <c r="E15">
        <f>IF($J$3="",IF($B$17&gt;0,B15/$B$17,0),COMBIN($J$3,A15)*$L$3^A15*(1-$L$3)^($J$3-A15))</f>
        <v/>
      </c>
      <c r="F15">
        <f>IF($B$17&gt;0,B15/$B$17,0)</f>
        <v/>
      </c>
      <c r="G15">
        <f>E15-F15</f>
        <v/>
      </c>
      <c r="H15">
        <f>D15*E15</f>
        <v/>
      </c>
      <c r="I15">
        <f>I14+E15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MAX(ABS(G7:G15))</f>
        <v/>
      </c>
      <c r="H17">
        <f>SUM(H7:H15)</f>
        <v/>
      </c>
      <c r="I17">
        <f>IF($B$3&gt;0,H17/$B$3,0)</f>
        <v/>
      </c>
      <c r="J17">
        <f>IF($D$3="","N/A",ABS(I17-$D$3)&lt;=$F$3)</f>
        <v/>
      </c>
    </row>
    <row r="18">
      <c r="A18" t="inlineStr">
        <is>
          <t>rtp_drift</t>
        </is>
      </c>
      <c r="B18">
        <f>IF($D$3="","",I17-$D$3)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buy100_medium_9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9</v>
      </c>
      <c r="K3" t="inlineStr">
        <is>
          <t>p_right</t>
        </is>
      </c>
      <c r="L3" t="n">
        <v>0.7141233299999999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12753</v>
      </c>
      <c r="C7" t="n">
        <v>0</v>
      </c>
      <c r="D7">
        <f>C7/$H$3</f>
        <v/>
      </c>
      <c r="E7">
        <f>IF($J$3="",IF($B$18&gt;0,B7/$B$18,0),COMBIN($J$3,A7)*$L$3^A7*(1-$L$3)^($J$3-A7))</f>
        <v/>
      </c>
      <c r="F7">
        <f>IF($B$18&gt;0,B7/$B$18,0)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286712</v>
      </c>
      <c r="C8" t="n">
        <v>0</v>
      </c>
      <c r="D8">
        <f>C8/$H$3</f>
        <v/>
      </c>
      <c r="E8">
        <f>IF($J$3="",IF($B$18&gt;0,B8/$B$18,0),COMBIN($J$3,A8)*$L$3^A8*(1-$L$3)^($J$3-A8))</f>
        <v/>
      </c>
      <c r="F8">
        <f>IF($B$18&gt;0,B8/$B$18,0)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2864837</v>
      </c>
      <c r="C9" t="n">
        <v>0</v>
      </c>
      <c r="D9">
        <f>C9/$H$3</f>
        <v/>
      </c>
      <c r="E9">
        <f>IF($J$3="",IF($B$18&gt;0,B9/$B$18,0),COMBIN($J$3,A9)*$L$3^A9*(1-$L$3)^($J$3-A9))</f>
        <v/>
      </c>
      <c r="F9">
        <f>IF($B$18&gt;0,B9/$B$18,0)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16698260</v>
      </c>
      <c r="C10" t="n">
        <v>0</v>
      </c>
      <c r="D10">
        <f>C10/$H$3</f>
        <v/>
      </c>
      <c r="E10">
        <f>IF($J$3="",IF($B$18&gt;0,B10/$B$18,0),COMBIN($J$3,A10)*$L$3^A10*(1-$L$3)^($J$3-A10))</f>
        <v/>
      </c>
      <c r="F10">
        <f>IF($B$18&gt;0,B10/$B$18,0)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62568680</v>
      </c>
      <c r="C11" t="n">
        <v>0</v>
      </c>
      <c r="D11">
        <f>C11/$H$3</f>
        <v/>
      </c>
      <c r="E11">
        <f>IF($J$3="",IF($B$18&gt;0,B11/$B$18,0),COMBIN($J$3,A11)*$L$3^A11*(1-$L$3)^($J$3-A11))</f>
        <v/>
      </c>
      <c r="F11">
        <f>IF($B$18&gt;0,B11/$B$18,0)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156297311</v>
      </c>
      <c r="C12" t="n">
        <v>0</v>
      </c>
      <c r="D12">
        <f>C12/$H$3</f>
        <v/>
      </c>
      <c r="E12">
        <f>IF($J$3="",IF($B$18&gt;0,B12/$B$18,0),COMBIN($J$3,A12)*$L$3^A12*(1-$L$3)^($J$3-A12))</f>
        <v/>
      </c>
      <c r="F12">
        <f>IF($B$18&gt;0,B12/$B$18,0)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260288366</v>
      </c>
      <c r="C13" t="n">
        <v>4</v>
      </c>
      <c r="D13">
        <f>C13/$H$3</f>
        <v/>
      </c>
      <c r="E13">
        <f>IF($J$3="",IF($B$18&gt;0,B13/$B$18,0),COMBIN($J$3,A13)*$L$3^A13*(1-$L$3)^($J$3-A13))</f>
        <v/>
      </c>
      <c r="F13">
        <f>IF($B$18&gt;0,B13/$B$18,0)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278658620</v>
      </c>
      <c r="C14" t="n">
        <v>138</v>
      </c>
      <c r="D14">
        <f>C14/$H$3</f>
        <v/>
      </c>
      <c r="E14">
        <f>IF($J$3="",IF($B$18&gt;0,B14/$B$18,0),COMBIN($J$3,A14)*$L$3^A14*(1-$L$3)^($J$3-A14))</f>
        <v/>
      </c>
      <c r="F14">
        <f>IF($B$18&gt;0,B14/$B$18,0)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174023141</v>
      </c>
      <c r="C15" t="n">
        <v>4955</v>
      </c>
      <c r="D15">
        <f>C15/$H$3</f>
        <v/>
      </c>
      <c r="E15">
        <f>IF($J$3="",IF($B$18&gt;0,B15/$B$18,0),COMBIN($J$3,A15)*$L$3^A15*(1-$L$3)^($J$3-A15))</f>
        <v/>
      </c>
      <c r="F15">
        <f>IF($B$18&gt;0,B15/$B$18,0)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48300573</v>
      </c>
      <c r="C16" t="n">
        <v>178200</v>
      </c>
      <c r="D16">
        <f>C16/$H$3</f>
        <v/>
      </c>
      <c r="E16">
        <f>IF($J$3="",IF($B$18&gt;0,B16/$B$18,0),COMBIN($J$3,A16)*$L$3^A16*(1-$L$3)^($J$3-A16))</f>
        <v/>
      </c>
      <c r="F16">
        <f>IF($B$18&gt;0,B16/$B$18,0)</f>
        <v/>
      </c>
      <c r="G16">
        <f>E16-F16</f>
        <v/>
      </c>
      <c r="H16">
        <f>D16*E16</f>
        <v/>
      </c>
      <c r="I16">
        <f>I15+E16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MAX(ABS(G7:G16))</f>
        <v/>
      </c>
      <c r="H18">
        <f>SUM(H7:H16)</f>
        <v/>
      </c>
      <c r="I18">
        <f>IF($B$3&gt;0,H18/$B$3,0)</f>
        <v/>
      </c>
      <c r="J18">
        <f>IF($D$3="","N/A",ABS(I18-$D$3)&lt;=$F$3)</f>
        <v/>
      </c>
    </row>
    <row r="19">
      <c r="A19" t="inlineStr">
        <is>
          <t>rtp_drift</t>
        </is>
      </c>
      <c r="B19">
        <f>IF($D$3="","",I18-$D$3)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normal_expert_10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10</v>
      </c>
      <c r="K3" t="inlineStr">
        <is>
          <t>p_right</t>
        </is>
      </c>
      <c r="L3" t="n">
        <v>0.46094971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2071538</v>
      </c>
      <c r="C7" t="n">
        <v>0</v>
      </c>
      <c r="D7">
        <f>C7/$H$3</f>
        <v/>
      </c>
      <c r="E7">
        <f>IF($J$3="",IF($B$19&gt;0,B7/$B$19,0),COMBIN($J$3,A7)*$L$3^A7*(1-$L$3)^($J$3-A7))</f>
        <v/>
      </c>
      <c r="F7">
        <f>IF($B$19&gt;0,B7/$B$19,0)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17714018</v>
      </c>
      <c r="C8" t="n">
        <v>0</v>
      </c>
      <c r="D8">
        <f>C8/$H$3</f>
        <v/>
      </c>
      <c r="E8">
        <f>IF($J$3="",IF($B$19&gt;0,B8/$B$19,0),COMBIN($J$3,A8)*$L$3^A8*(1-$L$3)^($J$3-A8))</f>
        <v/>
      </c>
      <c r="F8">
        <f>IF($B$19&gt;0,B8/$B$19,0)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68163811</v>
      </c>
      <c r="C9" t="n">
        <v>0</v>
      </c>
      <c r="D9">
        <f>C9/$H$3</f>
        <v/>
      </c>
      <c r="E9">
        <f>IF($J$3="",IF($B$19&gt;0,B9/$B$19,0),COMBIN($J$3,A9)*$L$3^A9*(1-$L$3)^($J$3-A9))</f>
        <v/>
      </c>
      <c r="F9">
        <f>IF($B$19&gt;0,B9/$B$19,0)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155434301</v>
      </c>
      <c r="C10" t="n">
        <v>0</v>
      </c>
      <c r="D10">
        <f>C10/$H$3</f>
        <v/>
      </c>
      <c r="E10">
        <f>IF($J$3="",IF($B$19&gt;0,B10/$B$19,0),COMBIN($J$3,A10)*$L$3^A10*(1-$L$3)^($J$3-A10))</f>
        <v/>
      </c>
      <c r="F10">
        <f>IF($B$19&gt;0,B10/$B$19,0)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232599716</v>
      </c>
      <c r="C11" t="n">
        <v>0</v>
      </c>
      <c r="D11">
        <f>C11/$H$3</f>
        <v/>
      </c>
      <c r="E11">
        <f>IF($J$3="",IF($B$19&gt;0,B11/$B$19,0),COMBIN($J$3,A11)*$L$3^A11*(1-$L$3)^($J$3-A11))</f>
        <v/>
      </c>
      <c r="F11">
        <f>IF($B$19&gt;0,B11/$B$19,0)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238679266</v>
      </c>
      <c r="C12" t="n">
        <v>0</v>
      </c>
      <c r="D12">
        <f>C12/$H$3</f>
        <v/>
      </c>
      <c r="E12">
        <f>IF($J$3="",IF($B$19&gt;0,B12/$B$19,0),COMBIN($J$3,A12)*$L$3^A12*(1-$L$3)^($J$3-A12))</f>
        <v/>
      </c>
      <c r="F12">
        <f>IF($B$19&gt;0,B12/$B$19,0)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170081749</v>
      </c>
      <c r="C13" t="n">
        <v>0</v>
      </c>
      <c r="D13">
        <f>C13/$H$3</f>
        <v/>
      </c>
      <c r="E13">
        <f>IF($J$3="",IF($B$19&gt;0,B13/$B$19,0),COMBIN($J$3,A13)*$L$3^A13*(1-$L$3)^($J$3-A13))</f>
        <v/>
      </c>
      <c r="F13">
        <f>IF($B$19&gt;0,B13/$B$19,0)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83108211</v>
      </c>
      <c r="C14" t="n">
        <v>0</v>
      </c>
      <c r="D14">
        <f>C14/$H$3</f>
        <v/>
      </c>
      <c r="E14">
        <f>IF($J$3="",IF($B$19&gt;0,B14/$B$19,0),COMBIN($J$3,A14)*$L$3^A14*(1-$L$3)^($J$3-A14))</f>
        <v/>
      </c>
      <c r="F14">
        <f>IF($B$19&gt;0,B14/$B$19,0)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26650138</v>
      </c>
      <c r="C15" t="n">
        <v>16</v>
      </c>
      <c r="D15">
        <f>C15/$H$3</f>
        <v/>
      </c>
      <c r="E15">
        <f>IF($J$3="",IF($B$19&gt;0,B15/$B$19,0),COMBIN($J$3,A15)*$L$3^A15*(1-$L$3)^($J$3-A15))</f>
        <v/>
      </c>
      <c r="F15">
        <f>IF($B$19&gt;0,B15/$B$19,0)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5064204</v>
      </c>
      <c r="C16" t="n">
        <v>1779</v>
      </c>
      <c r="D16">
        <f>C16/$H$3</f>
        <v/>
      </c>
      <c r="E16">
        <f>IF($J$3="",IF($B$19&gt;0,B16/$B$19,0),COMBIN($J$3,A16)*$L$3^A16*(1-$L$3)^($J$3-A16))</f>
        <v/>
      </c>
      <c r="F16">
        <f>IF($B$19&gt;0,B16/$B$19,0)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433072</v>
      </c>
      <c r="C17" t="n">
        <v>200000</v>
      </c>
      <c r="D17">
        <f>C17/$H$3</f>
        <v/>
      </c>
      <c r="E17">
        <f>IF($J$3="",IF($B$19&gt;0,B17/$B$19,0),COMBIN($J$3,A17)*$L$3^A17*(1-$L$3)^($J$3-A17))</f>
        <v/>
      </c>
      <c r="F17">
        <f>IF($B$19&gt;0,B17/$B$19,0)</f>
        <v/>
      </c>
      <c r="G17">
        <f>E17-F17</f>
        <v/>
      </c>
      <c r="H17">
        <f>D17*E17</f>
        <v/>
      </c>
      <c r="I17">
        <f>I16+E17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MAX(ABS(G7:G17))</f>
        <v/>
      </c>
      <c r="H19">
        <f>SUM(H7:H17)</f>
        <v/>
      </c>
      <c r="I19">
        <f>IF($B$3&gt;0,H19/$B$3,0)</f>
        <v/>
      </c>
      <c r="J19">
        <f>IF($D$3="","N/A",ABS(I19-$D$3)&lt;=$F$3)</f>
        <v/>
      </c>
    </row>
    <row r="20">
      <c r="A20" t="inlineStr">
        <is>
          <t>rtp_drift</t>
        </is>
      </c>
      <c r="B20">
        <f>IF($D$3="","",I19-$D$3)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normal_expert_11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0.960499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11</v>
      </c>
      <c r="K3" t="inlineStr">
        <is>
          <t>p_right</t>
        </is>
      </c>
      <c r="L3" t="n">
        <v>0.45994886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1139682</v>
      </c>
      <c r="C7" t="n">
        <v>0</v>
      </c>
      <c r="D7">
        <f>C7/$H$3</f>
        <v/>
      </c>
      <c r="E7">
        <f>IF($J$3="",IF($B$20&gt;0,B7/$B$20,0),COMBIN($J$3,A7)*$L$3^A7*(1-$L$3)^($J$3-A7))</f>
        <v/>
      </c>
      <c r="F7">
        <f>IF($B$20&gt;0,B7/$B$20,0)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10677046</v>
      </c>
      <c r="C8" t="n">
        <v>0</v>
      </c>
      <c r="D8">
        <f>C8/$H$3</f>
        <v/>
      </c>
      <c r="E8">
        <f>IF($J$3="",IF($B$20&gt;0,B8/$B$20,0),COMBIN($J$3,A8)*$L$3^A8*(1-$L$3)^($J$3-A8))</f>
        <v/>
      </c>
      <c r="F8">
        <f>IF($B$20&gt;0,B8/$B$20,0)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45466944</v>
      </c>
      <c r="C9" t="n">
        <v>0</v>
      </c>
      <c r="D9">
        <f>C9/$H$3</f>
        <v/>
      </c>
      <c r="E9">
        <f>IF($J$3="",IF($B$20&gt;0,B9/$B$20,0),COMBIN($J$3,A9)*$L$3^A9*(1-$L$3)^($J$3-A9))</f>
        <v/>
      </c>
      <c r="F9">
        <f>IF($B$20&gt;0,B9/$B$20,0)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116169382</v>
      </c>
      <c r="C10" t="n">
        <v>0</v>
      </c>
      <c r="D10">
        <f>C10/$H$3</f>
        <v/>
      </c>
      <c r="E10">
        <f>IF($J$3="",IF($B$20&gt;0,B10/$B$20,0),COMBIN($J$3,A10)*$L$3^A10*(1-$L$3)^($J$3-A10))</f>
        <v/>
      </c>
      <c r="F10">
        <f>IF($B$20&gt;0,B10/$B$20,0)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197877464</v>
      </c>
      <c r="C11" t="n">
        <v>0</v>
      </c>
      <c r="D11">
        <f>C11/$H$3</f>
        <v/>
      </c>
      <c r="E11">
        <f>IF($J$3="",IF($B$20&gt;0,B11/$B$20,0),COMBIN($J$3,A11)*$L$3^A11*(1-$L$3)^($J$3-A11))</f>
        <v/>
      </c>
      <c r="F11">
        <f>IF($B$20&gt;0,B11/$B$20,0)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235938619</v>
      </c>
      <c r="C12" t="n">
        <v>0</v>
      </c>
      <c r="D12">
        <f>C12/$H$3</f>
        <v/>
      </c>
      <c r="E12">
        <f>IF($J$3="",IF($B$20&gt;0,B12/$B$20,0),COMBIN($J$3,A12)*$L$3^A12*(1-$L$3)^($J$3-A12))</f>
        <v/>
      </c>
      <c r="F12">
        <f>IF($B$20&gt;0,B12/$B$20,0)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200943375</v>
      </c>
      <c r="C13" t="n">
        <v>0</v>
      </c>
      <c r="D13">
        <f>C13/$H$3</f>
        <v/>
      </c>
      <c r="E13">
        <f>IF($J$3="",IF($B$20&gt;0,B13/$B$20,0),COMBIN($J$3,A13)*$L$3^A13*(1-$L$3)^($J$3-A13))</f>
        <v/>
      </c>
      <c r="F13">
        <f>IF($B$20&gt;0,B13/$B$20,0)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122241964</v>
      </c>
      <c r="C14" t="n">
        <v>0</v>
      </c>
      <c r="D14">
        <f>C14/$H$3</f>
        <v/>
      </c>
      <c r="E14">
        <f>IF($J$3="",IF($B$20&gt;0,B14/$B$20,0),COMBIN($J$3,A14)*$L$3^A14*(1-$L$3)^($J$3-A14))</f>
        <v/>
      </c>
      <c r="F14">
        <f>IF($B$20&gt;0,B14/$B$20,0)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52055304</v>
      </c>
      <c r="C15" t="n">
        <v>13</v>
      </c>
      <c r="D15">
        <f>C15/$H$3</f>
        <v/>
      </c>
      <c r="E15">
        <f>IF($J$3="",IF($B$20&gt;0,B15/$B$20,0),COMBIN($J$3,A15)*$L$3^A15*(1-$L$3)^($J$3-A15))</f>
        <v/>
      </c>
      <c r="F15">
        <f>IF($B$20&gt;0,B15/$B$20,0)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14778093</v>
      </c>
      <c r="C16" t="n">
        <v>372</v>
      </c>
      <c r="D16">
        <f>C16/$H$3</f>
        <v/>
      </c>
      <c r="E16">
        <f>IF($J$3="",IF($B$20&gt;0,B16/$B$20,0),COMBIN($J$3,A16)*$L$3^A16*(1-$L$3)^($J$3-A16))</f>
        <v/>
      </c>
      <c r="F16">
        <f>IF($B$20&gt;0,B16/$B$20,0)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2517231</v>
      </c>
      <c r="C17" t="n">
        <v>10912</v>
      </c>
      <c r="D17">
        <f>C17/$H$3</f>
        <v/>
      </c>
      <c r="E17">
        <f>IF($J$3="",IF($B$20&gt;0,B17/$B$20,0),COMBIN($J$3,A17)*$L$3^A17*(1-$L$3)^($J$3-A17))</f>
        <v/>
      </c>
      <c r="F17">
        <f>IF($B$20&gt;0,B17/$B$20,0)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195024</v>
      </c>
      <c r="C18" t="n">
        <v>320000</v>
      </c>
      <c r="D18">
        <f>C18/$H$3</f>
        <v/>
      </c>
      <c r="E18">
        <f>IF($J$3="",IF($B$20&gt;0,B18/$B$20,0),COMBIN($J$3,A18)*$L$3^A18*(1-$L$3)^($J$3-A18))</f>
        <v/>
      </c>
      <c r="F18">
        <f>IF($B$20&gt;0,B18/$B$20,0)</f>
        <v/>
      </c>
      <c r="G18">
        <f>E18-F18</f>
        <v/>
      </c>
      <c r="H18">
        <f>D18*E18</f>
        <v/>
      </c>
      <c r="I18">
        <f>I17+E18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MAX(ABS(G7:G18))</f>
        <v/>
      </c>
      <c r="H20">
        <f>SUM(H7:H18)</f>
        <v/>
      </c>
      <c r="I20">
        <f>IF($B$3&gt;0,H20/$B$3,0)</f>
        <v/>
      </c>
      <c r="J20">
        <f>IF($D$3="","N/A",ABS(I20-$D$3)&lt;=$F$3)</f>
        <v/>
      </c>
    </row>
    <row r="21">
      <c r="A21" t="inlineStr">
        <is>
          <t>rtp_drift</t>
        </is>
      </c>
      <c r="B21">
        <f>IF($D$3="","",I20-$D$3)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normal_expert_12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0.960501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12</v>
      </c>
      <c r="K3" t="inlineStr">
        <is>
          <t>p_right</t>
        </is>
      </c>
      <c r="L3" t="n">
        <v>0.43644835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1026136</v>
      </c>
      <c r="C7" t="n">
        <v>0</v>
      </c>
      <c r="D7">
        <f>C7/$H$3</f>
        <v/>
      </c>
      <c r="E7">
        <f>IF($J$3="",IF($B$21&gt;0,B7/$B$21,0),COMBIN($J$3,A7)*$L$3^A7*(1-$L$3)^($J$3-A7))</f>
        <v/>
      </c>
      <c r="F7">
        <f>IF($B$21&gt;0,B7/$B$21,0)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9536414</v>
      </c>
      <c r="C8" t="n">
        <v>0</v>
      </c>
      <c r="D8">
        <f>C8/$H$3</f>
        <v/>
      </c>
      <c r="E8">
        <f>IF($J$3="",IF($B$21&gt;0,B8/$B$21,0),COMBIN($J$3,A8)*$L$3^A8*(1-$L$3)^($J$3-A8))</f>
        <v/>
      </c>
      <c r="F8">
        <f>IF($B$21&gt;0,B8/$B$21,0)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40620655</v>
      </c>
      <c r="C9" t="n">
        <v>0</v>
      </c>
      <c r="D9">
        <f>C9/$H$3</f>
        <v/>
      </c>
      <c r="E9">
        <f>IF($J$3="",IF($B$21&gt;0,B9/$B$21,0),COMBIN($J$3,A9)*$L$3^A9*(1-$L$3)^($J$3-A9))</f>
        <v/>
      </c>
      <c r="F9">
        <f>IF($B$21&gt;0,B9/$B$21,0)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104863608</v>
      </c>
      <c r="C10" t="n">
        <v>0</v>
      </c>
      <c r="D10">
        <f>C10/$H$3</f>
        <v/>
      </c>
      <c r="E10">
        <f>IF($J$3="",IF($B$21&gt;0,B10/$B$21,0),COMBIN($J$3,A10)*$L$3^A10*(1-$L$3)^($J$3-A10))</f>
        <v/>
      </c>
      <c r="F10">
        <f>IF($B$21&gt;0,B10/$B$21,0)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182728562</v>
      </c>
      <c r="C11" t="n">
        <v>0</v>
      </c>
      <c r="D11">
        <f>C11/$H$3</f>
        <v/>
      </c>
      <c r="E11">
        <f>IF($J$3="",IF($B$21&gt;0,B11/$B$21,0),COMBIN($J$3,A11)*$L$3^A11*(1-$L$3)^($J$3-A11))</f>
        <v/>
      </c>
      <c r="F11">
        <f>IF($B$21&gt;0,B11/$B$21,0)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226425608</v>
      </c>
      <c r="C12" t="n">
        <v>0</v>
      </c>
      <c r="D12">
        <f>C12/$H$3</f>
        <v/>
      </c>
      <c r="E12">
        <f>IF($J$3="",IF($B$21&gt;0,B12/$B$21,0),COMBIN($J$3,A12)*$L$3^A12*(1-$L$3)^($J$3-A12))</f>
        <v/>
      </c>
      <c r="F12">
        <f>IF($B$21&gt;0,B12/$B$21,0)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204583901</v>
      </c>
      <c r="C13" t="n">
        <v>0</v>
      </c>
      <c r="D13">
        <f>C13/$H$3</f>
        <v/>
      </c>
      <c r="E13">
        <f>IF($J$3="",IF($B$21&gt;0,B13/$B$21,0),COMBIN($J$3,A13)*$L$3^A13*(1-$L$3)^($J$3-A13))</f>
        <v/>
      </c>
      <c r="F13">
        <f>IF($B$21&gt;0,B13/$B$21,0)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135807511</v>
      </c>
      <c r="C14" t="n">
        <v>2</v>
      </c>
      <c r="D14">
        <f>C14/$H$3</f>
        <v/>
      </c>
      <c r="E14">
        <f>IF($J$3="",IF($B$21&gt;0,B14/$B$21,0),COMBIN($J$3,A14)*$L$3^A14*(1-$L$3)^($J$3-A14))</f>
        <v/>
      </c>
      <c r="F14">
        <f>IF($B$21&gt;0,B14/$B$21,0)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65735948</v>
      </c>
      <c r="C15" t="n">
        <v>25</v>
      </c>
      <c r="D15">
        <f>C15/$H$3</f>
        <v/>
      </c>
      <c r="E15">
        <f>IF($J$3="",IF($B$21&gt;0,B15/$B$21,0),COMBIN($J$3,A15)*$L$3^A15*(1-$L$3)^($J$3-A15))</f>
        <v/>
      </c>
      <c r="F15">
        <f>IF($B$21&gt;0,B15/$B$21,0)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22626612</v>
      </c>
      <c r="C16" t="n">
        <v>315</v>
      </c>
      <c r="D16">
        <f>C16/$H$3</f>
        <v/>
      </c>
      <c r="E16">
        <f>IF($J$3="",IF($B$21&gt;0,B16/$B$21,0),COMBIN($J$3,A16)*$L$3^A16*(1-$L$3)^($J$3-A16))</f>
        <v/>
      </c>
      <c r="F16">
        <f>IF($B$21&gt;0,B16/$B$21,0)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5257023</v>
      </c>
      <c r="C17" t="n">
        <v>3945</v>
      </c>
      <c r="D17">
        <f>C17/$H$3</f>
        <v/>
      </c>
      <c r="E17">
        <f>IF($J$3="",IF($B$21&gt;0,B17/$B$21,0),COMBIN($J$3,A17)*$L$3^A17*(1-$L$3)^($J$3-A17))</f>
        <v/>
      </c>
      <c r="F17">
        <f>IF($B$21&gt;0,B17/$B$21,0)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740246</v>
      </c>
      <c r="C18" t="n">
        <v>49458</v>
      </c>
      <c r="D18">
        <f>C18/$H$3</f>
        <v/>
      </c>
      <c r="E18">
        <f>IF($J$3="",IF($B$21&gt;0,B18/$B$21,0),COMBIN($J$3,A18)*$L$3^A18*(1-$L$3)^($J$3-A18))</f>
        <v/>
      </c>
      <c r="F18">
        <f>IF($B$21&gt;0,B18/$B$21,0)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47835</v>
      </c>
      <c r="C19" t="n">
        <v>620000</v>
      </c>
      <c r="D19">
        <f>C19/$H$3</f>
        <v/>
      </c>
      <c r="E19">
        <f>IF($J$3="",IF($B$21&gt;0,B19/$B$21,0),COMBIN($J$3,A19)*$L$3^A19*(1-$L$3)^($J$3-A19))</f>
        <v/>
      </c>
      <c r="F19">
        <f>IF($B$21&gt;0,B19/$B$21,0)</f>
        <v/>
      </c>
      <c r="G19">
        <f>E19-F19</f>
        <v/>
      </c>
      <c r="H19">
        <f>D19*E19</f>
        <v/>
      </c>
      <c r="I19">
        <f>I18+E19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MAX(ABS(G7:G19))</f>
        <v/>
      </c>
      <c r="H21">
        <f>SUM(H7:H19)</f>
        <v/>
      </c>
      <c r="I21">
        <f>IF($B$3&gt;0,H21/$B$3,0)</f>
        <v/>
      </c>
      <c r="J21">
        <f>IF($D$3="","N/A",ABS(I21-$D$3)&lt;=$F$3)</f>
        <v/>
      </c>
    </row>
    <row r="22">
      <c r="A22" t="inlineStr">
        <is>
          <t>rtp_drift</t>
        </is>
      </c>
      <c r="B22">
        <f>IF($D$3="","",I21-$D$3)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normal_expert_13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0.960498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13</v>
      </c>
      <c r="K3" t="inlineStr">
        <is>
          <t>p_right</t>
        </is>
      </c>
      <c r="L3" t="n">
        <v>0.4287234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690246</v>
      </c>
      <c r="C7" t="n">
        <v>0</v>
      </c>
      <c r="D7">
        <f>C7/$H$3</f>
        <v/>
      </c>
      <c r="E7">
        <f>IF($J$3="",IF($B$22&gt;0,B7/$B$22,0),COMBIN($J$3,A7)*$L$3^A7*(1-$L$3)^($J$3-A7))</f>
        <v/>
      </c>
      <c r="F7">
        <f>IF($B$22&gt;0,B7/$B$22,0)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6734072</v>
      </c>
      <c r="C8" t="n">
        <v>0</v>
      </c>
      <c r="D8">
        <f>C8/$H$3</f>
        <v/>
      </c>
      <c r="E8">
        <f>IF($J$3="",IF($B$22&gt;0,B8/$B$22,0),COMBIN($J$3,A8)*$L$3^A8*(1-$L$3)^($J$3-A8))</f>
        <v/>
      </c>
      <c r="F8">
        <f>IF($B$22&gt;0,B8/$B$22,0)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30322134</v>
      </c>
      <c r="C9" t="n">
        <v>0</v>
      </c>
      <c r="D9">
        <f>C9/$H$3</f>
        <v/>
      </c>
      <c r="E9">
        <f>IF($J$3="",IF($B$22&gt;0,B9/$B$22,0),COMBIN($J$3,A9)*$L$3^A9*(1-$L$3)^($J$3-A9))</f>
        <v/>
      </c>
      <c r="F9">
        <f>IF($B$22&gt;0,B9/$B$22,0)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83437628</v>
      </c>
      <c r="C10" t="n">
        <v>0</v>
      </c>
      <c r="D10">
        <f>C10/$H$3</f>
        <v/>
      </c>
      <c r="E10">
        <f>IF($J$3="",IF($B$22&gt;0,B10/$B$22,0),COMBIN($J$3,A10)*$L$3^A10*(1-$L$3)^($J$3-A10))</f>
        <v/>
      </c>
      <c r="F10">
        <f>IF($B$22&gt;0,B10/$B$22,0)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156542660</v>
      </c>
      <c r="C11" t="n">
        <v>0</v>
      </c>
      <c r="D11">
        <f>C11/$H$3</f>
        <v/>
      </c>
      <c r="E11">
        <f>IF($J$3="",IF($B$22&gt;0,B11/$B$22,0),COMBIN($J$3,A11)*$L$3^A11*(1-$L$3)^($J$3-A11))</f>
        <v/>
      </c>
      <c r="F11">
        <f>IF($B$22&gt;0,B11/$B$22,0)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211463770</v>
      </c>
      <c r="C12" t="n">
        <v>0</v>
      </c>
      <c r="D12">
        <f>C12/$H$3</f>
        <v/>
      </c>
      <c r="E12">
        <f>IF($J$3="",IF($B$22&gt;0,B12/$B$22,0),COMBIN($J$3,A12)*$L$3^A12*(1-$L$3)^($J$3-A12))</f>
        <v/>
      </c>
      <c r="F12">
        <f>IF($B$22&gt;0,B12/$B$22,0)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211595029</v>
      </c>
      <c r="C13" t="n">
        <v>0</v>
      </c>
      <c r="D13">
        <f>C13/$H$3</f>
        <v/>
      </c>
      <c r="E13">
        <f>IF($J$3="",IF($B$22&gt;0,B13/$B$22,0),COMBIN($J$3,A13)*$L$3^A13*(1-$L$3)^($J$3-A13))</f>
        <v/>
      </c>
      <c r="F13">
        <f>IF($B$22&gt;0,B13/$B$22,0)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158794778</v>
      </c>
      <c r="C14" t="n">
        <v>2</v>
      </c>
      <c r="D14">
        <f>C14/$H$3</f>
        <v/>
      </c>
      <c r="E14">
        <f>IF($J$3="",IF($B$22&gt;0,B14/$B$22,0),COMBIN($J$3,A14)*$L$3^A14*(1-$L$3)^($J$3-A14))</f>
        <v/>
      </c>
      <c r="F14">
        <f>IF($B$22&gt;0,B14/$B$22,0)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89377506</v>
      </c>
      <c r="C15" t="n">
        <v>15</v>
      </c>
      <c r="D15">
        <f>C15/$H$3</f>
        <v/>
      </c>
      <c r="E15">
        <f>IF($J$3="",IF($B$22&gt;0,B15/$B$22,0),COMBIN($J$3,A15)*$L$3^A15*(1-$L$3)^($J$3-A15))</f>
        <v/>
      </c>
      <c r="F15">
        <f>IF($B$22&gt;0,B15/$B$22,0)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37263744</v>
      </c>
      <c r="C16" t="n">
        <v>140</v>
      </c>
      <c r="D16">
        <f>C16/$H$3</f>
        <v/>
      </c>
      <c r="E16">
        <f>IF($J$3="",IF($B$22&gt;0,B16/$B$22,0),COMBIN($J$3,A16)*$L$3^A16*(1-$L$3)^($J$3-A16))</f>
        <v/>
      </c>
      <c r="F16">
        <f>IF($B$22&gt;0,B16/$B$22,0)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11186062</v>
      </c>
      <c r="C17" t="n">
        <v>1287</v>
      </c>
      <c r="D17">
        <f>C17/$H$3</f>
        <v/>
      </c>
      <c r="E17">
        <f>IF($J$3="",IF($B$22&gt;0,B17/$B$22,0),COMBIN($J$3,A17)*$L$3^A17*(1-$L$3)^($J$3-A17))</f>
        <v/>
      </c>
      <c r="F17">
        <f>IF($B$22&gt;0,B17/$B$22,0)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2289478</v>
      </c>
      <c r="C18" t="n">
        <v>11832</v>
      </c>
      <c r="D18">
        <f>C18/$H$3</f>
        <v/>
      </c>
      <c r="E18">
        <f>IF($J$3="",IF($B$22&gt;0,B18/$B$22,0),COMBIN($J$3,A18)*$L$3^A18*(1-$L$3)^($J$3-A18))</f>
        <v/>
      </c>
      <c r="F18">
        <f>IF($B$22&gt;0,B18/$B$22,0)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286362</v>
      </c>
      <c r="C19" t="n">
        <v>108775</v>
      </c>
      <c r="D19">
        <f>C19/$H$3</f>
        <v/>
      </c>
      <c r="E19">
        <f>IF($J$3="",IF($B$22&gt;0,B19/$B$22,0),COMBIN($J$3,A19)*$L$3^A19*(1-$L$3)^($J$3-A19))</f>
        <v/>
      </c>
      <c r="F19">
        <f>IF($B$22&gt;0,B19/$B$22,0)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16540</v>
      </c>
      <c r="C20" t="n">
        <v>1000000</v>
      </c>
      <c r="D20">
        <f>C20/$H$3</f>
        <v/>
      </c>
      <c r="E20">
        <f>IF($J$3="",IF($B$22&gt;0,B20/$B$22,0),COMBIN($J$3,A20)*$L$3^A20*(1-$L$3)^($J$3-A20))</f>
        <v/>
      </c>
      <c r="F20">
        <f>IF($B$22&gt;0,B20/$B$22,0)</f>
        <v/>
      </c>
      <c r="G20">
        <f>E20-F20</f>
        <v/>
      </c>
      <c r="H20">
        <f>D20*E20</f>
        <v/>
      </c>
      <c r="I20">
        <f>I19+E20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MAX(ABS(G7:G20))</f>
        <v/>
      </c>
      <c r="H22">
        <f>SUM(H7:H20)</f>
        <v/>
      </c>
      <c r="I22">
        <f>IF($B$3&gt;0,H22/$B$3,0)</f>
        <v/>
      </c>
      <c r="J22">
        <f>IF($D$3="","N/A",ABS(I22-$D$3)&lt;=$F$3)</f>
        <v/>
      </c>
    </row>
    <row r="23">
      <c r="A23" t="inlineStr">
        <is>
          <t>rtp_drift</t>
        </is>
      </c>
      <c r="B23">
        <f>IF($D$3="","",I22-$D$3)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normal_expert_14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0.960496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14</v>
      </c>
      <c r="K3" t="inlineStr">
        <is>
          <t>p_right</t>
        </is>
      </c>
      <c r="L3" t="n">
        <v>0.39694563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841377</v>
      </c>
      <c r="C7" t="n">
        <v>0</v>
      </c>
      <c r="D7">
        <f>C7/$H$3</f>
        <v/>
      </c>
      <c r="E7">
        <f>IF($J$3="",IF($B$23&gt;0,B7/$B$23,0),COMBIN($J$3,A7)*$L$3^A7*(1-$L$3)^($J$3-A7))</f>
        <v/>
      </c>
      <c r="F7">
        <f>IF($B$23&gt;0,B7/$B$23,0)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7753418</v>
      </c>
      <c r="C8" t="n">
        <v>0</v>
      </c>
      <c r="D8">
        <f>C8/$H$3</f>
        <v/>
      </c>
      <c r="E8">
        <f>IF($J$3="",IF($B$23&gt;0,B8/$B$23,0),COMBIN($J$3,A8)*$L$3^A8*(1-$L$3)^($J$3-A8))</f>
        <v/>
      </c>
      <c r="F8">
        <f>IF($B$23&gt;0,B8/$B$23,0)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33172721</v>
      </c>
      <c r="C9" t="n">
        <v>0</v>
      </c>
      <c r="D9">
        <f>C9/$H$3</f>
        <v/>
      </c>
      <c r="E9">
        <f>IF($J$3="",IF($B$23&gt;0,B9/$B$23,0),COMBIN($J$3,A9)*$L$3^A9*(1-$L$3)^($J$3-A9))</f>
        <v/>
      </c>
      <c r="F9">
        <f>IF($B$23&gt;0,B9/$B$23,0)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87340493</v>
      </c>
      <c r="C10" t="n">
        <v>0</v>
      </c>
      <c r="D10">
        <f>C10/$H$3</f>
        <v/>
      </c>
      <c r="E10">
        <f>IF($J$3="",IF($B$23&gt;0,B10/$B$23,0),COMBIN($J$3,A10)*$L$3^A10*(1-$L$3)^($J$3-A10))</f>
        <v/>
      </c>
      <c r="F10">
        <f>IF($B$23&gt;0,B10/$B$23,0)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158096728</v>
      </c>
      <c r="C11" t="n">
        <v>0</v>
      </c>
      <c r="D11">
        <f>C11/$H$3</f>
        <v/>
      </c>
      <c r="E11">
        <f>IF($J$3="",IF($B$23&gt;0,B11/$B$23,0),COMBIN($J$3,A11)*$L$3^A11*(1-$L$3)^($J$3-A11))</f>
        <v/>
      </c>
      <c r="F11">
        <f>IF($B$23&gt;0,B11/$B$23,0)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208126521</v>
      </c>
      <c r="C12" t="n">
        <v>0</v>
      </c>
      <c r="D12">
        <f>C12/$H$3</f>
        <v/>
      </c>
      <c r="E12">
        <f>IF($J$3="",IF($B$23&gt;0,B12/$B$23,0),COMBIN($J$3,A12)*$L$3^A12*(1-$L$3)^($J$3-A12))</f>
        <v/>
      </c>
      <c r="F12">
        <f>IF($B$23&gt;0,B12/$B$23,0)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205491201</v>
      </c>
      <c r="C13" t="n">
        <v>1</v>
      </c>
      <c r="D13">
        <f>C13/$H$3</f>
        <v/>
      </c>
      <c r="E13">
        <f>IF($J$3="",IF($B$23&gt;0,B13/$B$23,0),COMBIN($J$3,A13)*$L$3^A13*(1-$L$3)^($J$3-A13))</f>
        <v/>
      </c>
      <c r="F13">
        <f>IF($B$23&gt;0,B13/$B$23,0)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154582286</v>
      </c>
      <c r="C14" t="n">
        <v>4</v>
      </c>
      <c r="D14">
        <f>C14/$H$3</f>
        <v/>
      </c>
      <c r="E14">
        <f>IF($J$3="",IF($B$23&gt;0,B14/$B$23,0),COMBIN($J$3,A14)*$L$3^A14*(1-$L$3)^($J$3-A14))</f>
        <v/>
      </c>
      <c r="F14">
        <f>IF($B$23&gt;0,B14/$B$23,0)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89031220</v>
      </c>
      <c r="C15" t="n">
        <v>25</v>
      </c>
      <c r="D15">
        <f>C15/$H$3</f>
        <v/>
      </c>
      <c r="E15">
        <f>IF($J$3="",IF($B$23&gt;0,B15/$B$23,0),COMBIN($J$3,A15)*$L$3^A15*(1-$L$3)^($J$3-A15))</f>
        <v/>
      </c>
      <c r="F15">
        <f>IF($B$23&gt;0,B15/$B$23,0)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39068399</v>
      </c>
      <c r="C16" t="n">
        <v>167</v>
      </c>
      <c r="D16">
        <f>C16/$H$3</f>
        <v/>
      </c>
      <c r="E16">
        <f>IF($J$3="",IF($B$23&gt;0,B16/$B$23,0),COMBIN($J$3,A16)*$L$3^A16*(1-$L$3)^($J$3-A16))</f>
        <v/>
      </c>
      <c r="F16">
        <f>IF($B$23&gt;0,B16/$B$23,0)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12857904</v>
      </c>
      <c r="C17" t="n">
        <v>1125</v>
      </c>
      <c r="D17">
        <f>C17/$H$3</f>
        <v/>
      </c>
      <c r="E17">
        <f>IF($J$3="",IF($B$23&gt;0,B17/$B$23,0),COMBIN($J$3,A17)*$L$3^A17*(1-$L$3)^($J$3-A17))</f>
        <v/>
      </c>
      <c r="F17">
        <f>IF($B$23&gt;0,B17/$B$23,0)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3077599</v>
      </c>
      <c r="C18" t="n">
        <v>7565</v>
      </c>
      <c r="D18">
        <f>C18/$H$3</f>
        <v/>
      </c>
      <c r="E18">
        <f>IF($J$3="",IF($B$23&gt;0,B18/$B$23,0),COMBIN($J$3,A18)*$L$3^A18*(1-$L$3)^($J$3-A18))</f>
        <v/>
      </c>
      <c r="F18">
        <f>IF($B$23&gt;0,B18/$B$23,0)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506438</v>
      </c>
      <c r="C19" t="n">
        <v>50867</v>
      </c>
      <c r="D19">
        <f>C19/$H$3</f>
        <v/>
      </c>
      <c r="E19">
        <f>IF($J$3="",IF($B$23&gt;0,B19/$B$23,0),COMBIN($J$3,A19)*$L$3^A19*(1-$L$3)^($J$3-A19))</f>
        <v/>
      </c>
      <c r="F19">
        <f>IF($B$23&gt;0,B19/$B$23,0)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51285</v>
      </c>
      <c r="C20" t="n">
        <v>342044</v>
      </c>
      <c r="D20">
        <f>C20/$H$3</f>
        <v/>
      </c>
      <c r="E20">
        <f>IF($J$3="",IF($B$23&gt;0,B20/$B$23,0),COMBIN($J$3,A20)*$L$3^A20*(1-$L$3)^($J$3-A20))</f>
        <v/>
      </c>
      <c r="F20">
        <f>IF($B$23&gt;0,B20/$B$23,0)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2359</v>
      </c>
      <c r="C21" t="n">
        <v>2300000</v>
      </c>
      <c r="D21">
        <f>C21/$H$3</f>
        <v/>
      </c>
      <c r="E21">
        <f>IF($J$3="",IF($B$23&gt;0,B21/$B$23,0),COMBIN($J$3,A21)*$L$3^A21*(1-$L$3)^($J$3-A21))</f>
        <v/>
      </c>
      <c r="F21">
        <f>IF($B$23&gt;0,B21/$B$23,0)</f>
        <v/>
      </c>
      <c r="G21">
        <f>E21-F21</f>
        <v/>
      </c>
      <c r="H21">
        <f>D21*E21</f>
        <v/>
      </c>
      <c r="I21">
        <f>I20+E21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MAX(ABS(G7:G21))</f>
        <v/>
      </c>
      <c r="H23">
        <f>SUM(H7:H21)</f>
        <v/>
      </c>
      <c r="I23">
        <f>IF($B$3&gt;0,H23/$B$3,0)</f>
        <v/>
      </c>
      <c r="J23">
        <f>IF($D$3="","N/A",ABS(I23-$D$3)&lt;=$F$3)</f>
        <v/>
      </c>
    </row>
    <row r="24">
      <c r="A24" t="inlineStr">
        <is>
          <t>rtp_drift</t>
        </is>
      </c>
      <c r="B24">
        <f>IF($D$3="","",I23-$D$3)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normal_expert_15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0.960479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15</v>
      </c>
      <c r="K3" t="inlineStr">
        <is>
          <t>p_right</t>
        </is>
      </c>
      <c r="L3" t="n">
        <v>0.37244886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922013</v>
      </c>
      <c r="C7" t="n">
        <v>0</v>
      </c>
      <c r="D7">
        <f>C7/$H$3</f>
        <v/>
      </c>
      <c r="E7">
        <f>IF($J$3="",IF($B$24&gt;0,B7/$B$24,0),COMBIN($J$3,A7)*$L$3^A7*(1-$L$3)^($J$3-A7))</f>
        <v/>
      </c>
      <c r="F7">
        <f>IF($B$24&gt;0,B7/$B$24,0)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8208156</v>
      </c>
      <c r="C8" t="n">
        <v>0</v>
      </c>
      <c r="D8">
        <f>C8/$H$3</f>
        <v/>
      </c>
      <c r="E8">
        <f>IF($J$3="",IF($B$24&gt;0,B8/$B$24,0),COMBIN($J$3,A8)*$L$3^A8*(1-$L$3)^($J$3-A8))</f>
        <v/>
      </c>
      <c r="F8">
        <f>IF($B$24&gt;0,B8/$B$24,0)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34100535</v>
      </c>
      <c r="C9" t="n">
        <v>0</v>
      </c>
      <c r="D9">
        <f>C9/$H$3</f>
        <v/>
      </c>
      <c r="E9">
        <f>IF($J$3="",IF($B$24&gt;0,B9/$B$24,0),COMBIN($J$3,A9)*$L$3^A9*(1-$L$3)^($J$3-A9))</f>
        <v/>
      </c>
      <c r="F9">
        <f>IF($B$24&gt;0,B9/$B$24,0)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87700247</v>
      </c>
      <c r="C10" t="n">
        <v>0</v>
      </c>
      <c r="D10">
        <f>C10/$H$3</f>
        <v/>
      </c>
      <c r="E10">
        <f>IF($J$3="",IF($B$24&gt;0,B10/$B$24,0),COMBIN($J$3,A10)*$L$3^A10*(1-$L$3)^($J$3-A10))</f>
        <v/>
      </c>
      <c r="F10">
        <f>IF($B$24&gt;0,B10/$B$24,0)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156149140</v>
      </c>
      <c r="C11" t="n">
        <v>0</v>
      </c>
      <c r="D11">
        <f>C11/$H$3</f>
        <v/>
      </c>
      <c r="E11">
        <f>IF($J$3="",IF($B$24&gt;0,B11/$B$24,0),COMBIN($J$3,A11)*$L$3^A11*(1-$L$3)^($J$3-A11))</f>
        <v/>
      </c>
      <c r="F11">
        <f>IF($B$24&gt;0,B11/$B$24,0)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203882432</v>
      </c>
      <c r="C12" t="n">
        <v>0</v>
      </c>
      <c r="D12">
        <f>C12/$H$3</f>
        <v/>
      </c>
      <c r="E12">
        <f>IF($J$3="",IF($B$24&gt;0,B12/$B$24,0),COMBIN($J$3,A12)*$L$3^A12*(1-$L$3)^($J$3-A12))</f>
        <v/>
      </c>
      <c r="F12">
        <f>IF($B$24&gt;0,B12/$B$24,0)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201672222</v>
      </c>
      <c r="C13" t="n">
        <v>1</v>
      </c>
      <c r="D13">
        <f>C13/$H$3</f>
        <v/>
      </c>
      <c r="E13">
        <f>IF($J$3="",IF($B$24&gt;0,B13/$B$24,0),COMBIN($J$3,A13)*$L$3^A13*(1-$L$3)^($J$3-A13))</f>
        <v/>
      </c>
      <c r="F13">
        <f>IF($B$24&gt;0,B13/$B$24,0)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153889179</v>
      </c>
      <c r="C14" t="n">
        <v>5</v>
      </c>
      <c r="D14">
        <f>C14/$H$3</f>
        <v/>
      </c>
      <c r="E14">
        <f>IF($J$3="",IF($B$24&gt;0,B14/$B$24,0),COMBIN($J$3,A14)*$L$3^A14*(1-$L$3)^($J$3-A14))</f>
        <v/>
      </c>
      <c r="F14">
        <f>IF($B$24&gt;0,B14/$B$24,0)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91332555</v>
      </c>
      <c r="C15" t="n">
        <v>29</v>
      </c>
      <c r="D15">
        <f>C15/$H$3</f>
        <v/>
      </c>
      <c r="E15">
        <f>IF($J$3="",IF($B$24&gt;0,B15/$B$24,0),COMBIN($J$3,A15)*$L$3^A15*(1-$L$3)^($J$3-A15))</f>
        <v/>
      </c>
      <c r="F15">
        <f>IF($B$24&gt;0,B15/$B$24,0)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42159812</v>
      </c>
      <c r="C16" t="n">
        <v>165</v>
      </c>
      <c r="D16">
        <f>C16/$H$3</f>
        <v/>
      </c>
      <c r="E16">
        <f>IF($J$3="",IF($B$24&gt;0,B16/$B$24,0),COMBIN($J$3,A16)*$L$3^A16*(1-$L$3)^($J$3-A16))</f>
        <v/>
      </c>
      <c r="F16">
        <f>IF($B$24&gt;0,B16/$B$24,0)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15012999</v>
      </c>
      <c r="C17" t="n">
        <v>920</v>
      </c>
      <c r="D17">
        <f>C17/$H$3</f>
        <v/>
      </c>
      <c r="E17">
        <f>IF($J$3="",IF($B$24&gt;0,B17/$B$24,0),COMBIN($J$3,A17)*$L$3^A17*(1-$L$3)^($J$3-A17))</f>
        <v/>
      </c>
      <c r="F17">
        <f>IF($B$24&gt;0,B17/$B$24,0)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4050068</v>
      </c>
      <c r="C18" t="n">
        <v>5138</v>
      </c>
      <c r="D18">
        <f>C18/$H$3</f>
        <v/>
      </c>
      <c r="E18">
        <f>IF($J$3="",IF($B$24&gt;0,B18/$B$24,0),COMBIN($J$3,A18)*$L$3^A18*(1-$L$3)^($J$3-A18))</f>
        <v/>
      </c>
      <c r="F18">
        <f>IF($B$24&gt;0,B18/$B$24,0)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801233</v>
      </c>
      <c r="C19" t="n">
        <v>28697</v>
      </c>
      <c r="D19">
        <f>C19/$H$3</f>
        <v/>
      </c>
      <c r="E19">
        <f>IF($J$3="",IF($B$24&gt;0,B19/$B$24,0),COMBIN($J$3,A19)*$L$3^A19*(1-$L$3)^($J$3-A19))</f>
        <v/>
      </c>
      <c r="F19">
        <f>IF($B$24&gt;0,B19/$B$24,0)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109737</v>
      </c>
      <c r="C20" t="n">
        <v>160279</v>
      </c>
      <c r="D20">
        <f>C20/$H$3</f>
        <v/>
      </c>
      <c r="E20">
        <f>IF($J$3="",IF($B$24&gt;0,B20/$B$24,0),COMBIN($J$3,A20)*$L$3^A20*(1-$L$3)^($J$3-A20))</f>
        <v/>
      </c>
      <c r="F20">
        <f>IF($B$24&gt;0,B20/$B$24,0)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9304</v>
      </c>
      <c r="C21" t="n">
        <v>895208</v>
      </c>
      <c r="D21">
        <f>C21/$H$3</f>
        <v/>
      </c>
      <c r="E21">
        <f>IF($J$3="",IF($B$24&gt;0,B21/$B$24,0),COMBIN($J$3,A21)*$L$3^A21*(1-$L$3)^($J$3-A21))</f>
        <v/>
      </c>
      <c r="F21">
        <f>IF($B$24&gt;0,B21/$B$24,0)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388</v>
      </c>
      <c r="C22" t="n">
        <v>5000000</v>
      </c>
      <c r="D22">
        <f>C22/$H$3</f>
        <v/>
      </c>
      <c r="E22">
        <f>IF($J$3="",IF($B$24&gt;0,B22/$B$24,0),COMBIN($J$3,A22)*$L$3^A22*(1-$L$3)^($J$3-A22))</f>
        <v/>
      </c>
      <c r="F22">
        <f>IF($B$24&gt;0,B22/$B$24,0)</f>
        <v/>
      </c>
      <c r="G22">
        <f>E22-F22</f>
        <v/>
      </c>
      <c r="H22">
        <f>D22*E22</f>
        <v/>
      </c>
      <c r="I22">
        <f>I21+E22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MAX(ABS(G7:G22))</f>
        <v/>
      </c>
      <c r="H24">
        <f>SUM(H7:H22)</f>
        <v/>
      </c>
      <c r="I24">
        <f>IF($B$3&gt;0,H24/$B$3,0)</f>
        <v/>
      </c>
      <c r="J24">
        <f>IF($D$3="","N/A",ABS(I24-$D$3)&lt;=$F$3)</f>
        <v/>
      </c>
    </row>
    <row r="25">
      <c r="A25" t="inlineStr">
        <is>
          <t>rtp_drift</t>
        </is>
      </c>
      <c r="B25">
        <f>IF($D$3="","",I24-$D$3)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normal_expert_16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0.960537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16</v>
      </c>
      <c r="K3" t="inlineStr">
        <is>
          <t>p_right</t>
        </is>
      </c>
      <c r="L3" t="n">
        <v>0.35523136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892201</v>
      </c>
      <c r="C7" t="n">
        <v>0</v>
      </c>
      <c r="D7">
        <f>C7/$H$3</f>
        <v/>
      </c>
      <c r="E7">
        <f>IF($J$3="",IF($B$25&gt;0,B7/$B$25,0),COMBIN($J$3,A7)*$L$3^A7*(1-$L$3)^($J$3-A7))</f>
        <v/>
      </c>
      <c r="F7">
        <f>IF($B$25&gt;0,B7/$B$25,0)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7864840</v>
      </c>
      <c r="C8" t="n">
        <v>0</v>
      </c>
      <c r="D8">
        <f>C8/$H$3</f>
        <v/>
      </c>
      <c r="E8">
        <f>IF($J$3="",IF($B$25&gt;0,B8/$B$25,0),COMBIN($J$3,A8)*$L$3^A8*(1-$L$3)^($J$3-A8))</f>
        <v/>
      </c>
      <c r="F8">
        <f>IF($B$25&gt;0,B8/$B$25,0)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32498143</v>
      </c>
      <c r="C9" t="n">
        <v>0</v>
      </c>
      <c r="D9">
        <f>C9/$H$3</f>
        <v/>
      </c>
      <c r="E9">
        <f>IF($J$3="",IF($B$25&gt;0,B9/$B$25,0),COMBIN($J$3,A9)*$L$3^A9*(1-$L$3)^($J$3-A9))</f>
        <v/>
      </c>
      <c r="F9">
        <f>IF($B$25&gt;0,B9/$B$25,0)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83555052</v>
      </c>
      <c r="C10" t="n">
        <v>0</v>
      </c>
      <c r="D10">
        <f>C10/$H$3</f>
        <v/>
      </c>
      <c r="E10">
        <f>IF($J$3="",IF($B$25&gt;0,B10/$B$25,0),COMBIN($J$3,A10)*$L$3^A10*(1-$L$3)^($J$3-A10))</f>
        <v/>
      </c>
      <c r="F10">
        <f>IF($B$25&gt;0,B10/$B$25,0)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149610978</v>
      </c>
      <c r="C11" t="n">
        <v>0</v>
      </c>
      <c r="D11">
        <f>C11/$H$3</f>
        <v/>
      </c>
      <c r="E11">
        <f>IF($J$3="",IF($B$25&gt;0,B11/$B$25,0),COMBIN($J$3,A11)*$L$3^A11*(1-$L$3)^($J$3-A11))</f>
        <v/>
      </c>
      <c r="F11">
        <f>IF($B$25&gt;0,B11/$B$25,0)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197825418</v>
      </c>
      <c r="C12" t="n">
        <v>0</v>
      </c>
      <c r="D12">
        <f>C12/$H$3</f>
        <v/>
      </c>
      <c r="E12">
        <f>IF($J$3="",IF($B$25&gt;0,B12/$B$25,0),COMBIN($J$3,A12)*$L$3^A12*(1-$L$3)^($J$3-A12))</f>
        <v/>
      </c>
      <c r="F12">
        <f>IF($B$25&gt;0,B12/$B$25,0)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199816302</v>
      </c>
      <c r="C13" t="n">
        <v>1</v>
      </c>
      <c r="D13">
        <f>C13/$H$3</f>
        <v/>
      </c>
      <c r="E13">
        <f>IF($J$3="",IF($B$25&gt;0,B13/$B$25,0),COMBIN($J$3,A13)*$L$3^A13*(1-$L$3)^($J$3-A13))</f>
        <v/>
      </c>
      <c r="F13">
        <f>IF($B$25&gt;0,B13/$B$25,0)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157267965</v>
      </c>
      <c r="C14" t="n">
        <v>6</v>
      </c>
      <c r="D14">
        <f>C14/$H$3</f>
        <v/>
      </c>
      <c r="E14">
        <f>IF($J$3="",IF($B$25&gt;0,B14/$B$25,0),COMBIN($J$3,A14)*$L$3^A14*(1-$L$3)^($J$3-A14))</f>
        <v/>
      </c>
      <c r="F14">
        <f>IF($B$25&gt;0,B14/$B$25,0)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97476557</v>
      </c>
      <c r="C15" t="n">
        <v>28</v>
      </c>
      <c r="D15">
        <f>C15/$H$3</f>
        <v/>
      </c>
      <c r="E15">
        <f>IF($J$3="",IF($B$25&gt;0,B15/$B$25,0),COMBIN($J$3,A15)*$L$3^A15*(1-$L$3)^($J$3-A15))</f>
        <v/>
      </c>
      <c r="F15">
        <f>IF($B$25&gt;0,B15/$B$25,0)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47736992</v>
      </c>
      <c r="C16" t="n">
        <v>139</v>
      </c>
      <c r="D16">
        <f>C16/$H$3</f>
        <v/>
      </c>
      <c r="E16">
        <f>IF($J$3="",IF($B$25&gt;0,B16/$B$25,0),COMBIN($J$3,A16)*$L$3^A16*(1-$L$3)^($J$3-A16))</f>
        <v/>
      </c>
      <c r="F16">
        <f>IF($B$25&gt;0,B16/$B$25,0)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18410283</v>
      </c>
      <c r="C17" t="n">
        <v>688</v>
      </c>
      <c r="D17">
        <f>C17/$H$3</f>
        <v/>
      </c>
      <c r="E17">
        <f>IF($J$3="",IF($B$25&gt;0,B17/$B$25,0),COMBIN($J$3,A17)*$L$3^A17*(1-$L$3)^($J$3-A17))</f>
        <v/>
      </c>
      <c r="F17">
        <f>IF($B$25&gt;0,B17/$B$25,0)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5532564</v>
      </c>
      <c r="C18" t="n">
        <v>3398</v>
      </c>
      <c r="D18">
        <f>C18/$H$3</f>
        <v/>
      </c>
      <c r="E18">
        <f>IF($J$3="",IF($B$25&gt;0,B18/$B$25,0),COMBIN($J$3,A18)*$L$3^A18*(1-$L$3)^($J$3-A18))</f>
        <v/>
      </c>
      <c r="F18">
        <f>IF($B$25&gt;0,B18/$B$25,0)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1270055</v>
      </c>
      <c r="C19" t="n">
        <v>16787</v>
      </c>
      <c r="D19">
        <f>C19/$H$3</f>
        <v/>
      </c>
      <c r="E19">
        <f>IF($J$3="",IF($B$25&gt;0,B19/$B$25,0),COMBIN($J$3,A19)*$L$3^A19*(1-$L$3)^($J$3-A19))</f>
        <v/>
      </c>
      <c r="F19">
        <f>IF($B$25&gt;0,B19/$B$25,0)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215301</v>
      </c>
      <c r="C20" t="n">
        <v>82934</v>
      </c>
      <c r="D20">
        <f>C20/$H$3</f>
        <v/>
      </c>
      <c r="E20">
        <f>IF($J$3="",IF($B$25&gt;0,B20/$B$25,0),COMBIN($J$3,A20)*$L$3^A20*(1-$L$3)^($J$3-A20))</f>
        <v/>
      </c>
      <c r="F20">
        <f>IF($B$25&gt;0,B20/$B$25,0)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25418</v>
      </c>
      <c r="C21" t="n">
        <v>409720</v>
      </c>
      <c r="D21">
        <f>C21/$H$3</f>
        <v/>
      </c>
      <c r="E21">
        <f>IF($J$3="",IF($B$25&gt;0,B21/$B$25,0),COMBIN($J$3,A21)*$L$3^A21*(1-$L$3)^($J$3-A21))</f>
        <v/>
      </c>
      <c r="F21">
        <f>IF($B$25&gt;0,B21/$B$25,0)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1867</v>
      </c>
      <c r="C22" t="n">
        <v>2024154</v>
      </c>
      <c r="D22">
        <f>C22/$H$3</f>
        <v/>
      </c>
      <c r="E22">
        <f>IF($J$3="",IF($B$25&gt;0,B22/$B$25,0),COMBIN($J$3,A22)*$L$3^A22*(1-$L$3)^($J$3-A22))</f>
        <v/>
      </c>
      <c r="F22">
        <f>IF($B$25&gt;0,B22/$B$25,0)</f>
        <v/>
      </c>
      <c r="G22">
        <f>E22-F22</f>
        <v/>
      </c>
      <c r="H22">
        <f>D22*E22</f>
        <v/>
      </c>
      <c r="I22">
        <f>I21+E22</f>
        <v/>
      </c>
    </row>
    <row r="23">
      <c r="A23" t="n">
        <v>16</v>
      </c>
      <c r="B23" t="n">
        <v>71</v>
      </c>
      <c r="C23" t="n">
        <v>10000000</v>
      </c>
      <c r="D23">
        <f>C23/$H$3</f>
        <v/>
      </c>
      <c r="E23">
        <f>IF($J$3="",IF($B$25&gt;0,B23/$B$25,0),COMBIN($J$3,A23)*$L$3^A23*(1-$L$3)^($J$3-A23))</f>
        <v/>
      </c>
      <c r="F23">
        <f>IF($B$25&gt;0,B23/$B$25,0)</f>
        <v/>
      </c>
      <c r="G23">
        <f>E23-F23</f>
        <v/>
      </c>
      <c r="H23">
        <f>D23*E23</f>
        <v/>
      </c>
      <c r="I23">
        <f>I22+E23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MAX(ABS(G7:G23))</f>
        <v/>
      </c>
      <c r="H25">
        <f>SUM(H7:H23)</f>
        <v/>
      </c>
      <c r="I25">
        <f>IF($B$3&gt;0,H25/$B$3,0)</f>
        <v/>
      </c>
      <c r="J25">
        <f>IF($D$3="","N/A",ABS(I25-$D$3)&lt;=$F$3)</f>
        <v/>
      </c>
    </row>
    <row r="26">
      <c r="A26" t="inlineStr">
        <is>
          <t>rtp_drift</t>
        </is>
      </c>
      <c r="B26">
        <f>IF($D$3="","",I25-$D$3)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normal_expert_8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8</v>
      </c>
      <c r="K3" t="inlineStr">
        <is>
          <t>p_right</t>
        </is>
      </c>
      <c r="L3" t="n">
        <v>0.45167124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8171997</v>
      </c>
      <c r="C7" t="n">
        <v>0</v>
      </c>
      <c r="D7">
        <f>C7/$H$3</f>
        <v/>
      </c>
      <c r="E7">
        <f>IF($J$3="",IF($B$17&gt;0,B7/$B$17,0),COMBIN($J$3,A7)*$L$3^A7*(1-$L$3)^($J$3-A7))</f>
        <v/>
      </c>
      <c r="F7">
        <f>IF($B$17&gt;0,B7/$B$17,0)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53851723</v>
      </c>
      <c r="C8" t="n">
        <v>0</v>
      </c>
      <c r="D8">
        <f>C8/$H$3</f>
        <v/>
      </c>
      <c r="E8">
        <f>IF($J$3="",IF($B$17&gt;0,B8/$B$17,0),COMBIN($J$3,A8)*$L$3^A8*(1-$L$3)^($J$3-A8))</f>
        <v/>
      </c>
      <c r="F8">
        <f>IF($B$17&gt;0,B8/$B$17,0)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155256239</v>
      </c>
      <c r="C9" t="n">
        <v>0</v>
      </c>
      <c r="D9">
        <f>C9/$H$3</f>
        <v/>
      </c>
      <c r="E9">
        <f>IF($J$3="",IF($B$17&gt;0,B9/$B$17,0),COMBIN($J$3,A9)*$L$3^A9*(1-$L$3)^($J$3-A9))</f>
        <v/>
      </c>
      <c r="F9">
        <f>IF($B$17&gt;0,B9/$B$17,0)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255776399</v>
      </c>
      <c r="C10" t="n">
        <v>0</v>
      </c>
      <c r="D10">
        <f>C10/$H$3</f>
        <v/>
      </c>
      <c r="E10">
        <f>IF($J$3="",IF($B$17&gt;0,B10/$B$17,0),COMBIN($J$3,A10)*$L$3^A10*(1-$L$3)^($J$3-A10))</f>
        <v/>
      </c>
      <c r="F10">
        <f>IF($B$17&gt;0,B10/$B$17,0)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263361261</v>
      </c>
      <c r="C11" t="n">
        <v>0</v>
      </c>
      <c r="D11">
        <f>C11/$H$3</f>
        <v/>
      </c>
      <c r="E11">
        <f>IF($J$3="",IF($B$17&gt;0,B11/$B$17,0),COMBIN($J$3,A11)*$L$3^A11*(1-$L$3)^($J$3-A11))</f>
        <v/>
      </c>
      <c r="F11">
        <f>IF($B$17&gt;0,B11/$B$17,0)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173549470</v>
      </c>
      <c r="C12" t="n">
        <v>0</v>
      </c>
      <c r="D12">
        <f>C12/$H$3</f>
        <v/>
      </c>
      <c r="E12">
        <f>IF($J$3="",IF($B$17&gt;0,B12/$B$17,0),COMBIN($J$3,A12)*$L$3^A12*(1-$L$3)^($J$3-A12))</f>
        <v/>
      </c>
      <c r="F12">
        <f>IF($B$17&gt;0,B12/$B$17,0)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71478381</v>
      </c>
      <c r="C13" t="n">
        <v>6</v>
      </c>
      <c r="D13">
        <f>C13/$H$3</f>
        <v/>
      </c>
      <c r="E13">
        <f>IF($J$3="",IF($B$17&gt;0,B13/$B$17,0),COMBIN($J$3,A13)*$L$3^A13*(1-$L$3)^($J$3-A13))</f>
        <v/>
      </c>
      <c r="F13">
        <f>IF($B$17&gt;0,B13/$B$17,0)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16822405</v>
      </c>
      <c r="C14" t="n">
        <v>536</v>
      </c>
      <c r="D14">
        <f>C14/$H$3</f>
        <v/>
      </c>
      <c r="E14">
        <f>IF($J$3="",IF($B$17&gt;0,B14/$B$17,0),COMBIN($J$3,A14)*$L$3^A14*(1-$L$3)^($J$3-A14))</f>
        <v/>
      </c>
      <c r="F14">
        <f>IF($B$17&gt;0,B14/$B$17,0)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1732086</v>
      </c>
      <c r="C15" t="n">
        <v>50000</v>
      </c>
      <c r="D15">
        <f>C15/$H$3</f>
        <v/>
      </c>
      <c r="E15">
        <f>IF($J$3="",IF($B$17&gt;0,B15/$B$17,0),COMBIN($J$3,A15)*$L$3^A15*(1-$L$3)^($J$3-A15))</f>
        <v/>
      </c>
      <c r="F15">
        <f>IF($B$17&gt;0,B15/$B$17,0)</f>
        <v/>
      </c>
      <c r="G15">
        <f>E15-F15</f>
        <v/>
      </c>
      <c r="H15">
        <f>D15*E15</f>
        <v/>
      </c>
      <c r="I15">
        <f>I14+E15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MAX(ABS(G7:G15))</f>
        <v/>
      </c>
      <c r="H17">
        <f>SUM(H7:H15)</f>
        <v/>
      </c>
      <c r="I17">
        <f>IF($B$3&gt;0,H17/$B$3,0)</f>
        <v/>
      </c>
      <c r="J17">
        <f>IF($D$3="","N/A",ABS(I17-$D$3)&lt;=$F$3)</f>
        <v/>
      </c>
    </row>
    <row r="18">
      <c r="A18" t="inlineStr">
        <is>
          <t>rtp_drift</t>
        </is>
      </c>
      <c r="B18">
        <f>IF($D$3="","",I17-$D$3)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normal_expert_9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9</v>
      </c>
      <c r="K3" t="inlineStr">
        <is>
          <t>p_right</t>
        </is>
      </c>
      <c r="L3" t="n">
        <v>0.45680177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4117420</v>
      </c>
      <c r="C7" t="n">
        <v>0</v>
      </c>
      <c r="D7">
        <f>C7/$H$3</f>
        <v/>
      </c>
      <c r="E7">
        <f>IF($J$3="",IF($B$18&gt;0,B7/$B$18,0),COMBIN($J$3,A7)*$L$3^A7*(1-$L$3)^($J$3-A7))</f>
        <v/>
      </c>
      <c r="F7">
        <f>IF($B$18&gt;0,B7/$B$18,0)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31162843</v>
      </c>
      <c r="C8" t="n">
        <v>0</v>
      </c>
      <c r="D8">
        <f>C8/$H$3</f>
        <v/>
      </c>
      <c r="E8">
        <f>IF($J$3="",IF($B$18&gt;0,B8/$B$18,0),COMBIN($J$3,A8)*$L$3^A8*(1-$L$3)^($J$3-A8))</f>
        <v/>
      </c>
      <c r="F8">
        <f>IF($B$18&gt;0,B8/$B$18,0)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104825391</v>
      </c>
      <c r="C9" t="n">
        <v>0</v>
      </c>
      <c r="D9">
        <f>C9/$H$3</f>
        <v/>
      </c>
      <c r="E9">
        <f>IF($J$3="",IF($B$18&gt;0,B9/$B$18,0),COMBIN($J$3,A9)*$L$3^A9*(1-$L$3)^($J$3-A9))</f>
        <v/>
      </c>
      <c r="F9">
        <f>IF($B$18&gt;0,B9/$B$18,0)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205689775</v>
      </c>
      <c r="C10" t="n">
        <v>0</v>
      </c>
      <c r="D10">
        <f>C10/$H$3</f>
        <v/>
      </c>
      <c r="E10">
        <f>IF($J$3="",IF($B$18&gt;0,B10/$B$18,0),COMBIN($J$3,A10)*$L$3^A10*(1-$L$3)^($J$3-A10))</f>
        <v/>
      </c>
      <c r="F10">
        <f>IF($B$18&gt;0,B10/$B$18,0)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259461777</v>
      </c>
      <c r="C11" t="n">
        <v>0</v>
      </c>
      <c r="D11">
        <f>C11/$H$3</f>
        <v/>
      </c>
      <c r="E11">
        <f>IF($J$3="",IF($B$18&gt;0,B11/$B$18,0),COMBIN($J$3,A11)*$L$3^A11*(1-$L$3)^($J$3-A11))</f>
        <v/>
      </c>
      <c r="F11">
        <f>IF($B$18&gt;0,B11/$B$18,0)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218194005</v>
      </c>
      <c r="C12" t="n">
        <v>0</v>
      </c>
      <c r="D12">
        <f>C12/$H$3</f>
        <v/>
      </c>
      <c r="E12">
        <f>IF($J$3="",IF($B$18&gt;0,B12/$B$18,0),COMBIN($J$3,A12)*$L$3^A12*(1-$L$3)^($J$3-A12))</f>
        <v/>
      </c>
      <c r="F12">
        <f>IF($B$18&gt;0,B12/$B$18,0)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122326622</v>
      </c>
      <c r="C13" t="n">
        <v>0</v>
      </c>
      <c r="D13">
        <f>C13/$H$3</f>
        <v/>
      </c>
      <c r="E13">
        <f>IF($J$3="",IF($B$18&gt;0,B13/$B$18,0),COMBIN($J$3,A13)*$L$3^A13*(1-$L$3)^($J$3-A13))</f>
        <v/>
      </c>
      <c r="F13">
        <f>IF($B$18&gt;0,B13/$B$18,0)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44087312</v>
      </c>
      <c r="C14" t="n">
        <v>9</v>
      </c>
      <c r="D14">
        <f>C14/$H$3</f>
        <v/>
      </c>
      <c r="E14">
        <f>IF($J$3="",IF($B$18&gt;0,B14/$B$18,0),COMBIN($J$3,A14)*$L$3^A14*(1-$L$3)^($J$3-A14))</f>
        <v/>
      </c>
      <c r="F14">
        <f>IF($B$18&gt;0,B14/$B$18,0)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9268790</v>
      </c>
      <c r="C15" t="n">
        <v>973</v>
      </c>
      <c r="D15">
        <f>C15/$H$3</f>
        <v/>
      </c>
      <c r="E15">
        <f>IF($J$3="",IF($B$18&gt;0,B15/$B$18,0),COMBIN($J$3,A15)*$L$3^A15*(1-$L$3)^($J$3-A15))</f>
        <v/>
      </c>
      <c r="F15">
        <f>IF($B$18&gt;0,B15/$B$18,0)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866347</v>
      </c>
      <c r="C16" t="n">
        <v>100000</v>
      </c>
      <c r="D16">
        <f>C16/$H$3</f>
        <v/>
      </c>
      <c r="E16">
        <f>IF($J$3="",IF($B$18&gt;0,B16/$B$18,0),COMBIN($J$3,A16)*$L$3^A16*(1-$L$3)^($J$3-A16))</f>
        <v/>
      </c>
      <c r="F16">
        <f>IF($B$18&gt;0,B16/$B$18,0)</f>
        <v/>
      </c>
      <c r="G16">
        <f>E16-F16</f>
        <v/>
      </c>
      <c r="H16">
        <f>D16*E16</f>
        <v/>
      </c>
      <c r="I16">
        <f>I15+E16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MAX(ABS(G7:G16))</f>
        <v/>
      </c>
      <c r="H18">
        <f>SUM(H7:H16)</f>
        <v/>
      </c>
      <c r="I18">
        <f>IF($B$3&gt;0,H18/$B$3,0)</f>
        <v/>
      </c>
      <c r="J18">
        <f>IF($D$3="","N/A",ABS(I18-$D$3)&lt;=$F$3)</f>
        <v/>
      </c>
    </row>
    <row r="19">
      <c r="A19" t="inlineStr">
        <is>
          <t>rtp_drift</t>
        </is>
      </c>
      <c r="B19">
        <f>IF($D$3="","",I18-$D$3)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normal_high_10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10</v>
      </c>
      <c r="K3" t="inlineStr">
        <is>
          <t>p_right</t>
        </is>
      </c>
      <c r="L3" t="n">
        <v>0.63927785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37302</v>
      </c>
      <c r="C7" t="n">
        <v>0</v>
      </c>
      <c r="D7">
        <f>C7/$H$3</f>
        <v/>
      </c>
      <c r="E7">
        <f>IF($J$3="",IF($B$19&gt;0,B7/$B$19,0),COMBIN($J$3,A7)*$L$3^A7*(1-$L$3)^($J$3-A7))</f>
        <v/>
      </c>
      <c r="F7">
        <f>IF($B$19&gt;0,B7/$B$19,0)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661066</v>
      </c>
      <c r="C8" t="n">
        <v>0</v>
      </c>
      <c r="D8">
        <f>C8/$H$3</f>
        <v/>
      </c>
      <c r="E8">
        <f>IF($J$3="",IF($B$19&gt;0,B8/$B$19,0),COMBIN($J$3,A8)*$L$3^A8*(1-$L$3)^($J$3-A8))</f>
        <v/>
      </c>
      <c r="F8">
        <f>IF($B$19&gt;0,B8/$B$19,0)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5271987</v>
      </c>
      <c r="C9" t="n">
        <v>0</v>
      </c>
      <c r="D9">
        <f>C9/$H$3</f>
        <v/>
      </c>
      <c r="E9">
        <f>IF($J$3="",IF($B$19&gt;0,B9/$B$19,0),COMBIN($J$3,A9)*$L$3^A9*(1-$L$3)^($J$3-A9))</f>
        <v/>
      </c>
      <c r="F9">
        <f>IF($B$19&gt;0,B9/$B$19,0)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24914942</v>
      </c>
      <c r="C10" t="n">
        <v>0</v>
      </c>
      <c r="D10">
        <f>C10/$H$3</f>
        <v/>
      </c>
      <c r="E10">
        <f>IF($J$3="",IF($B$19&gt;0,B10/$B$19,0),COMBIN($J$3,A10)*$L$3^A10*(1-$L$3)^($J$3-A10))</f>
        <v/>
      </c>
      <c r="F10">
        <f>IF($B$19&gt;0,B10/$B$19,0)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77270687</v>
      </c>
      <c r="C11" t="n">
        <v>0</v>
      </c>
      <c r="D11">
        <f>C11/$H$3</f>
        <v/>
      </c>
      <c r="E11">
        <f>IF($J$3="",IF($B$19&gt;0,B11/$B$19,0),COMBIN($J$3,A11)*$L$3^A11*(1-$L$3)^($J$3-A11))</f>
        <v/>
      </c>
      <c r="F11">
        <f>IF($B$19&gt;0,B11/$B$19,0)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164328493</v>
      </c>
      <c r="C12" t="n">
        <v>0</v>
      </c>
      <c r="D12">
        <f>C12/$H$3</f>
        <v/>
      </c>
      <c r="E12">
        <f>IF($J$3="",IF($B$19&gt;0,B12/$B$19,0),COMBIN($J$3,A12)*$L$3^A12*(1-$L$3)^($J$3-A12))</f>
        <v/>
      </c>
      <c r="F12">
        <f>IF($B$19&gt;0,B12/$B$19,0)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242688098</v>
      </c>
      <c r="C13" t="n">
        <v>0</v>
      </c>
      <c r="D13">
        <f>C13/$H$3</f>
        <v/>
      </c>
      <c r="E13">
        <f>IF($J$3="",IF($B$19&gt;0,B13/$B$19,0),COMBIN($J$3,A13)*$L$3^A13*(1-$L$3)^($J$3-A13))</f>
        <v/>
      </c>
      <c r="F13">
        <f>IF($B$19&gt;0,B13/$B$19,0)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245769101</v>
      </c>
      <c r="C14" t="n">
        <v>0</v>
      </c>
      <c r="D14">
        <f>C14/$H$3</f>
        <v/>
      </c>
      <c r="E14">
        <f>IF($J$3="",IF($B$19&gt;0,B14/$B$19,0),COMBIN($J$3,A14)*$L$3^A14*(1-$L$3)^($J$3-A14))</f>
        <v/>
      </c>
      <c r="F14">
        <f>IF($B$19&gt;0,B14/$B$19,0)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163333550</v>
      </c>
      <c r="C15" t="n">
        <v>3</v>
      </c>
      <c r="D15">
        <f>C15/$H$3</f>
        <v/>
      </c>
      <c r="E15">
        <f>IF($J$3="",IF($B$19&gt;0,B15/$B$19,0),COMBIN($J$3,A15)*$L$3^A15*(1-$L$3)^($J$3-A15))</f>
        <v/>
      </c>
      <c r="F15">
        <f>IF($B$19&gt;0,B15/$B$19,0)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64324992</v>
      </c>
      <c r="C16" t="n">
        <v>140</v>
      </c>
      <c r="D16">
        <f>C16/$H$3</f>
        <v/>
      </c>
      <c r="E16">
        <f>IF($J$3="",IF($B$19&gt;0,B16/$B$19,0),COMBIN($J$3,A16)*$L$3^A16*(1-$L$3)^($J$3-A16))</f>
        <v/>
      </c>
      <c r="F16">
        <f>IF($B$19&gt;0,B16/$B$19,0)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11388609</v>
      </c>
      <c r="C17" t="n">
        <v>7600</v>
      </c>
      <c r="D17">
        <f>C17/$H$3</f>
        <v/>
      </c>
      <c r="E17">
        <f>IF($J$3="",IF($B$19&gt;0,B17/$B$19,0),COMBIN($J$3,A17)*$L$3^A17*(1-$L$3)^($J$3-A17))</f>
        <v/>
      </c>
      <c r="F17">
        <f>IF($B$19&gt;0,B17/$B$19,0)</f>
        <v/>
      </c>
      <c r="G17">
        <f>E17-F17</f>
        <v/>
      </c>
      <c r="H17">
        <f>D17*E17</f>
        <v/>
      </c>
      <c r="I17">
        <f>I16+E17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MAX(ABS(G7:G17))</f>
        <v/>
      </c>
      <c r="H19">
        <f>SUM(H7:H17)</f>
        <v/>
      </c>
      <c r="I19">
        <f>IF($B$3&gt;0,H19/$B$3,0)</f>
        <v/>
      </c>
      <c r="J19">
        <f>IF($D$3="","N/A",ABS(I19-$D$3)&lt;=$F$3)</f>
        <v/>
      </c>
    </row>
    <row r="20">
      <c r="A20" t="inlineStr">
        <is>
          <t>rtp_drift</t>
        </is>
      </c>
      <c r="B20">
        <f>IF($D$3="","",I19-$D$3)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normal_high_11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11</v>
      </c>
      <c r="K3" t="inlineStr">
        <is>
          <t>p_right</t>
        </is>
      </c>
      <c r="L3" t="n">
        <v>0.63871585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13688</v>
      </c>
      <c r="C7" t="n">
        <v>0</v>
      </c>
      <c r="D7">
        <f>C7/$H$3</f>
        <v/>
      </c>
      <c r="E7">
        <f>IF($J$3="",IF($B$20&gt;0,B7/$B$20,0),COMBIN($J$3,A7)*$L$3^A7*(1-$L$3)^($J$3-A7))</f>
        <v/>
      </c>
      <c r="F7">
        <f>IF($B$20&gt;0,B7/$B$20,0)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266189</v>
      </c>
      <c r="C8" t="n">
        <v>0</v>
      </c>
      <c r="D8">
        <f>C8/$H$3</f>
        <v/>
      </c>
      <c r="E8">
        <f>IF($J$3="",IF($B$20&gt;0,B8/$B$20,0),COMBIN($J$3,A8)*$L$3^A8*(1-$L$3)^($J$3-A8))</f>
        <v/>
      </c>
      <c r="F8">
        <f>IF($B$20&gt;0,B8/$B$20,0)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2352980</v>
      </c>
      <c r="C9" t="n">
        <v>0</v>
      </c>
      <c r="D9">
        <f>C9/$H$3</f>
        <v/>
      </c>
      <c r="E9">
        <f>IF($J$3="",IF($B$20&gt;0,B9/$B$20,0),COMBIN($J$3,A9)*$L$3^A9*(1-$L$3)^($J$3-A9))</f>
        <v/>
      </c>
      <c r="F9">
        <f>IF($B$20&gt;0,B9/$B$20,0)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12479533</v>
      </c>
      <c r="C10" t="n">
        <v>0</v>
      </c>
      <c r="D10">
        <f>C10/$H$3</f>
        <v/>
      </c>
      <c r="E10">
        <f>IF($J$3="",IF($B$20&gt;0,B10/$B$20,0),COMBIN($J$3,A10)*$L$3^A10*(1-$L$3)^($J$3-A10))</f>
        <v/>
      </c>
      <c r="F10">
        <f>IF($B$20&gt;0,B10/$B$20,0)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44125242</v>
      </c>
      <c r="C11" t="n">
        <v>0</v>
      </c>
      <c r="D11">
        <f>C11/$H$3</f>
        <v/>
      </c>
      <c r="E11">
        <f>IF($J$3="",IF($B$20&gt;0,B11/$B$20,0),COMBIN($J$3,A11)*$L$3^A11*(1-$L$3)^($J$3-A11))</f>
        <v/>
      </c>
      <c r="F11">
        <f>IF($B$20&gt;0,B11/$B$20,0)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109212893</v>
      </c>
      <c r="C12" t="n">
        <v>0</v>
      </c>
      <c r="D12">
        <f>C12/$H$3</f>
        <v/>
      </c>
      <c r="E12">
        <f>IF($J$3="",IF($B$20&gt;0,B12/$B$20,0),COMBIN($J$3,A12)*$L$3^A12*(1-$L$3)^($J$3-A12))</f>
        <v/>
      </c>
      <c r="F12">
        <f>IF($B$20&gt;0,B12/$B$20,0)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193077954</v>
      </c>
      <c r="C13" t="n">
        <v>0</v>
      </c>
      <c r="D13">
        <f>C13/$H$3</f>
        <v/>
      </c>
      <c r="E13">
        <f>IF($J$3="",IF($B$20&gt;0,B13/$B$20,0),COMBIN($J$3,A13)*$L$3^A13*(1-$L$3)^($J$3-A13))</f>
        <v/>
      </c>
      <c r="F13">
        <f>IF($B$20&gt;0,B13/$B$20,0)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243816690</v>
      </c>
      <c r="C14" t="n">
        <v>0</v>
      </c>
      <c r="D14">
        <f>C14/$H$3</f>
        <v/>
      </c>
      <c r="E14">
        <f>IF($J$3="",IF($B$20&gt;0,B14/$B$20,0),COMBIN($J$3,A14)*$L$3^A14*(1-$L$3)^($J$3-A14))</f>
        <v/>
      </c>
      <c r="F14">
        <f>IF($B$20&gt;0,B14/$B$20,0)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215522299</v>
      </c>
      <c r="C15" t="n">
        <v>0</v>
      </c>
      <c r="D15">
        <f>C15/$H$3</f>
        <v/>
      </c>
      <c r="E15">
        <f>IF($J$3="",IF($B$20&gt;0,B15/$B$20,0),COMBIN($J$3,A15)*$L$3^A15*(1-$L$3)^($J$3-A15))</f>
        <v/>
      </c>
      <c r="F15">
        <f>IF($B$20&gt;0,B15/$B$20,0)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127007607</v>
      </c>
      <c r="C16" t="n">
        <v>3</v>
      </c>
      <c r="D16">
        <f>C16/$H$3</f>
        <v/>
      </c>
      <c r="E16">
        <f>IF($J$3="",IF($B$20&gt;0,B16/$B$20,0),COMBIN($J$3,A16)*$L$3^A16*(1-$L$3)^($J$3-A16))</f>
        <v/>
      </c>
      <c r="F16">
        <f>IF($B$20&gt;0,B16/$B$20,0)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44907461</v>
      </c>
      <c r="C17" t="n">
        <v>200</v>
      </c>
      <c r="D17">
        <f>C17/$H$3</f>
        <v/>
      </c>
      <c r="E17">
        <f>IF($J$3="",IF($B$20&gt;0,B17/$B$20,0),COMBIN($J$3,A17)*$L$3^A17*(1-$L$3)^($J$3-A17))</f>
        <v/>
      </c>
      <c r="F17">
        <f>IF($B$20&gt;0,B17/$B$20,0)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7224009</v>
      </c>
      <c r="C18" t="n">
        <v>12000</v>
      </c>
      <c r="D18">
        <f>C18/$H$3</f>
        <v/>
      </c>
      <c r="E18">
        <f>IF($J$3="",IF($B$20&gt;0,B18/$B$20,0),COMBIN($J$3,A18)*$L$3^A18*(1-$L$3)^($J$3-A18))</f>
        <v/>
      </c>
      <c r="F18">
        <f>IF($B$20&gt;0,B18/$B$20,0)</f>
        <v/>
      </c>
      <c r="G18">
        <f>E18-F18</f>
        <v/>
      </c>
      <c r="H18">
        <f>D18*E18</f>
        <v/>
      </c>
      <c r="I18">
        <f>I17+E18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MAX(ABS(G7:G18))</f>
        <v/>
      </c>
      <c r="H20">
        <f>SUM(H7:H18)</f>
        <v/>
      </c>
      <c r="I20">
        <f>IF($B$3&gt;0,H20/$B$3,0)</f>
        <v/>
      </c>
      <c r="J20">
        <f>IF($D$3="","N/A",ABS(I20-$D$3)&lt;=$F$3)</f>
        <v/>
      </c>
    </row>
    <row r="21">
      <c r="A21" t="inlineStr">
        <is>
          <t>rtp_drift</t>
        </is>
      </c>
      <c r="B21">
        <f>IF($D$3="","",I20-$D$3)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normal_high_12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12</v>
      </c>
      <c r="K3" t="inlineStr">
        <is>
          <t>p_right</t>
        </is>
      </c>
      <c r="L3" t="n">
        <v>0.64405206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4137</v>
      </c>
      <c r="C7" t="n">
        <v>0</v>
      </c>
      <c r="D7">
        <f>C7/$H$3</f>
        <v/>
      </c>
      <c r="E7">
        <f>IF($J$3="",IF($B$21&gt;0,B7/$B$21,0),COMBIN($J$3,A7)*$L$3^A7*(1-$L$3)^($J$3-A7))</f>
        <v/>
      </c>
      <c r="F7">
        <f>IF($B$21&gt;0,B7/$B$21,0)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89816</v>
      </c>
      <c r="C8" t="n">
        <v>0</v>
      </c>
      <c r="D8">
        <f>C8/$H$3</f>
        <v/>
      </c>
      <c r="E8">
        <f>IF($J$3="",IF($B$21&gt;0,B8/$B$21,0),COMBIN($J$3,A8)*$L$3^A8*(1-$L$3)^($J$3-A8))</f>
        <v/>
      </c>
      <c r="F8">
        <f>IF($B$21&gt;0,B8/$B$21,0)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893821</v>
      </c>
      <c r="C9" t="n">
        <v>0</v>
      </c>
      <c r="D9">
        <f>C9/$H$3</f>
        <v/>
      </c>
      <c r="E9">
        <f>IF($J$3="",IF($B$21&gt;0,B9/$B$21,0),COMBIN($J$3,A9)*$L$3^A9*(1-$L$3)^($J$3-A9))</f>
        <v/>
      </c>
      <c r="F9">
        <f>IF($B$21&gt;0,B9/$B$21,0)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5390934</v>
      </c>
      <c r="C10" t="n">
        <v>0</v>
      </c>
      <c r="D10">
        <f>C10/$H$3</f>
        <v/>
      </c>
      <c r="E10">
        <f>IF($J$3="",IF($B$21&gt;0,B10/$B$21,0),COMBIN($J$3,A10)*$L$3^A10*(1-$L$3)^($J$3-A10))</f>
        <v/>
      </c>
      <c r="F10">
        <f>IF($B$21&gt;0,B10/$B$21,0)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21947295</v>
      </c>
      <c r="C11" t="n">
        <v>0</v>
      </c>
      <c r="D11">
        <f>C11/$H$3</f>
        <v/>
      </c>
      <c r="E11">
        <f>IF($J$3="",IF($B$21&gt;0,B11/$B$21,0),COMBIN($J$3,A11)*$L$3^A11*(1-$L$3)^($J$3-A11))</f>
        <v/>
      </c>
      <c r="F11">
        <f>IF($B$21&gt;0,B11/$B$21,0)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63538281</v>
      </c>
      <c r="C12" t="n">
        <v>0</v>
      </c>
      <c r="D12">
        <f>C12/$H$3</f>
        <v/>
      </c>
      <c r="E12">
        <f>IF($J$3="",IF($B$21&gt;0,B12/$B$21,0),COMBIN($J$3,A12)*$L$3^A12*(1-$L$3)^($J$3-A12))</f>
        <v/>
      </c>
      <c r="F12">
        <f>IF($B$21&gt;0,B12/$B$21,0)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134127160</v>
      </c>
      <c r="C13" t="n">
        <v>0</v>
      </c>
      <c r="D13">
        <f>C13/$H$3</f>
        <v/>
      </c>
      <c r="E13">
        <f>IF($J$3="",IF($B$21&gt;0,B13/$B$21,0),COMBIN($J$3,A13)*$L$3^A13*(1-$L$3)^($J$3-A13))</f>
        <v/>
      </c>
      <c r="F13">
        <f>IF($B$21&gt;0,B13/$B$21,0)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208019679</v>
      </c>
      <c r="C14" t="n">
        <v>0</v>
      </c>
      <c r="D14">
        <f>C14/$H$3</f>
        <v/>
      </c>
      <c r="E14">
        <f>IF($J$3="",IF($B$21&gt;0,B14/$B$21,0),COMBIN($J$3,A14)*$L$3^A14*(1-$L$3)^($J$3-A14))</f>
        <v/>
      </c>
      <c r="F14">
        <f>IF($B$21&gt;0,B14/$B$21,0)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235244198</v>
      </c>
      <c r="C15" t="n">
        <v>0</v>
      </c>
      <c r="D15">
        <f>C15/$H$3</f>
        <v/>
      </c>
      <c r="E15">
        <f>IF($J$3="",IF($B$21&gt;0,B15/$B$21,0),COMBIN($J$3,A15)*$L$3^A15*(1-$L$3)^($J$3-A15))</f>
        <v/>
      </c>
      <c r="F15">
        <f>IF($B$21&gt;0,B15/$B$21,0)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189178111</v>
      </c>
      <c r="C16" t="n">
        <v>0</v>
      </c>
      <c r="D16">
        <f>C16/$H$3</f>
        <v/>
      </c>
      <c r="E16">
        <f>IF($J$3="",IF($B$21&gt;0,B16/$B$21,0),COMBIN($J$3,A16)*$L$3^A16*(1-$L$3)^($J$3-A16))</f>
        <v/>
      </c>
      <c r="F16">
        <f>IF($B$21&gt;0,B16/$B$21,0)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102689638</v>
      </c>
      <c r="C17" t="n">
        <v>4</v>
      </c>
      <c r="D17">
        <f>C17/$H$3</f>
        <v/>
      </c>
      <c r="E17">
        <f>IF($J$3="",IF($B$21&gt;0,B17/$B$21,0),COMBIN($J$3,A17)*$L$3^A17*(1-$L$3)^($J$3-A17))</f>
        <v/>
      </c>
      <c r="F17">
        <f>IF($B$21&gt;0,B17/$B$21,0)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33783016</v>
      </c>
      <c r="C18" t="n">
        <v>267</v>
      </c>
      <c r="D18">
        <f>C18/$H$3</f>
        <v/>
      </c>
      <c r="E18">
        <f>IF($J$3="",IF($B$21&gt;0,B18/$B$21,0),COMBIN($J$3,A18)*$L$3^A18*(1-$L$3)^($J$3-A18))</f>
        <v/>
      </c>
      <c r="F18">
        <f>IF($B$21&gt;0,B18/$B$21,0)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5095253</v>
      </c>
      <c r="C19" t="n">
        <v>17000</v>
      </c>
      <c r="D19">
        <f>C19/$H$3</f>
        <v/>
      </c>
      <c r="E19">
        <f>IF($J$3="",IF($B$21&gt;0,B19/$B$21,0),COMBIN($J$3,A19)*$L$3^A19*(1-$L$3)^($J$3-A19))</f>
        <v/>
      </c>
      <c r="F19">
        <f>IF($B$21&gt;0,B19/$B$21,0)</f>
        <v/>
      </c>
      <c r="G19">
        <f>E19-F19</f>
        <v/>
      </c>
      <c r="H19">
        <f>D19*E19</f>
        <v/>
      </c>
      <c r="I19">
        <f>I18+E19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MAX(ABS(G7:G19))</f>
        <v/>
      </c>
      <c r="H21">
        <f>SUM(H7:H19)</f>
        <v/>
      </c>
      <c r="I21">
        <f>IF($B$3&gt;0,H21/$B$3,0)</f>
        <v/>
      </c>
      <c r="J21">
        <f>IF($D$3="","N/A",ABS(I21-$D$3)&lt;=$F$3)</f>
        <v/>
      </c>
    </row>
    <row r="22">
      <c r="A22" t="inlineStr">
        <is>
          <t>rtp_drift</t>
        </is>
      </c>
      <c r="B22">
        <f>IF($D$3="","",I21-$D$3)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normal_high_13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13</v>
      </c>
      <c r="K3" t="inlineStr">
        <is>
          <t>p_right</t>
        </is>
      </c>
      <c r="L3" t="n">
        <v>0.64479564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1433</v>
      </c>
      <c r="C7" t="n">
        <v>0</v>
      </c>
      <c r="D7">
        <f>C7/$H$3</f>
        <v/>
      </c>
      <c r="E7">
        <f>IF($J$3="",IF($B$22&gt;0,B7/$B$22,0),COMBIN($J$3,A7)*$L$3^A7*(1-$L$3)^($J$3-A7))</f>
        <v/>
      </c>
      <c r="F7">
        <f>IF($B$22&gt;0,B7/$B$22,0)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33815</v>
      </c>
      <c r="C8" t="n">
        <v>0</v>
      </c>
      <c r="D8">
        <f>C8/$H$3</f>
        <v/>
      </c>
      <c r="E8">
        <f>IF($J$3="",IF($B$22&gt;0,B8/$B$22,0),COMBIN($J$3,A8)*$L$3^A8*(1-$L$3)^($J$3-A8))</f>
        <v/>
      </c>
      <c r="F8">
        <f>IF($B$22&gt;0,B8/$B$22,0)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368299</v>
      </c>
      <c r="C9" t="n">
        <v>0</v>
      </c>
      <c r="D9">
        <f>C9/$H$3</f>
        <v/>
      </c>
      <c r="E9">
        <f>IF($J$3="",IF($B$22&gt;0,B9/$B$22,0),COMBIN($J$3,A9)*$L$3^A9*(1-$L$3)^($J$3-A9))</f>
        <v/>
      </c>
      <c r="F9">
        <f>IF($B$22&gt;0,B9/$B$22,0)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2451406</v>
      </c>
      <c r="C10" t="n">
        <v>0</v>
      </c>
      <c r="D10">
        <f>C10/$H$3</f>
        <v/>
      </c>
      <c r="E10">
        <f>IF($J$3="",IF($B$22&gt;0,B10/$B$22,0),COMBIN($J$3,A10)*$L$3^A10*(1-$L$3)^($J$3-A10))</f>
        <v/>
      </c>
      <c r="F10">
        <f>IF($B$22&gt;0,B10/$B$22,0)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11124974</v>
      </c>
      <c r="C11" t="n">
        <v>0</v>
      </c>
      <c r="D11">
        <f>C11/$H$3</f>
        <v/>
      </c>
      <c r="E11">
        <f>IF($J$3="",IF($B$22&gt;0,B11/$B$22,0),COMBIN($J$3,A11)*$L$3^A11*(1-$L$3)^($J$3-A11))</f>
        <v/>
      </c>
      <c r="F11">
        <f>IF($B$22&gt;0,B11/$B$22,0)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36350913</v>
      </c>
      <c r="C12" t="n">
        <v>0</v>
      </c>
      <c r="D12">
        <f>C12/$H$3</f>
        <v/>
      </c>
      <c r="E12">
        <f>IF($J$3="",IF($B$22&gt;0,B12/$B$22,0),COMBIN($J$3,A12)*$L$3^A12*(1-$L$3)^($J$3-A12))</f>
        <v/>
      </c>
      <c r="F12">
        <f>IF($B$22&gt;0,B12/$B$22,0)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87982817</v>
      </c>
      <c r="C13" t="n">
        <v>0</v>
      </c>
      <c r="D13">
        <f>C13/$H$3</f>
        <v/>
      </c>
      <c r="E13">
        <f>IF($J$3="",IF($B$22&gt;0,B13/$B$22,0),COMBIN($J$3,A13)*$L$3^A13*(1-$L$3)^($J$3-A13))</f>
        <v/>
      </c>
      <c r="F13">
        <f>IF($B$22&gt;0,B13/$B$22,0)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159713513</v>
      </c>
      <c r="C14" t="n">
        <v>0</v>
      </c>
      <c r="D14">
        <f>C14/$H$3</f>
        <v/>
      </c>
      <c r="E14">
        <f>IF($J$3="",IF($B$22&gt;0,B14/$B$22,0),COMBIN($J$3,A14)*$L$3^A14*(1-$L$3)^($J$3-A14))</f>
        <v/>
      </c>
      <c r="F14">
        <f>IF($B$22&gt;0,B14/$B$22,0)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217443648</v>
      </c>
      <c r="C15" t="n">
        <v>0</v>
      </c>
      <c r="D15">
        <f>C15/$H$3</f>
        <v/>
      </c>
      <c r="E15">
        <f>IF($J$3="",IF($B$22&gt;0,B15/$B$22,0),COMBIN($J$3,A15)*$L$3^A15*(1-$L$3)^($J$3-A15))</f>
        <v/>
      </c>
      <c r="F15">
        <f>IF($B$22&gt;0,B15/$B$22,0)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219289593</v>
      </c>
      <c r="C16" t="n">
        <v>0</v>
      </c>
      <c r="D16">
        <f>C16/$H$3</f>
        <v/>
      </c>
      <c r="E16">
        <f>IF($J$3="",IF($B$22&gt;0,B16/$B$22,0),COMBIN($J$3,A16)*$L$3^A16*(1-$L$3)^($J$3-A16))</f>
        <v/>
      </c>
      <c r="F16">
        <f>IF($B$22&gt;0,B16/$B$22,0)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159228870</v>
      </c>
      <c r="C17" t="n">
        <v>0</v>
      </c>
      <c r="D17">
        <f>C17/$H$3</f>
        <v/>
      </c>
      <c r="E17">
        <f>IF($J$3="",IF($B$22&gt;0,B17/$B$22,0),COMBIN($J$3,A17)*$L$3^A17*(1-$L$3)^($J$3-A17))</f>
        <v/>
      </c>
      <c r="F17">
        <f>IF($B$22&gt;0,B17/$B$22,0)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78830482</v>
      </c>
      <c r="C18" t="n">
        <v>5</v>
      </c>
      <c r="D18">
        <f>C18/$H$3</f>
        <v/>
      </c>
      <c r="E18">
        <f>IF($J$3="",IF($B$22&gt;0,B18/$B$22,0),COMBIN($J$3,A18)*$L$3^A18*(1-$L$3)^($J$3-A18))</f>
        <v/>
      </c>
      <c r="F18">
        <f>IF($B$22&gt;0,B18/$B$22,0)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23849909</v>
      </c>
      <c r="C19" t="n">
        <v>378</v>
      </c>
      <c r="D19">
        <f>C19/$H$3</f>
        <v/>
      </c>
      <c r="E19">
        <f>IF($J$3="",IF($B$22&gt;0,B19/$B$22,0),COMBIN($J$3,A19)*$L$3^A19*(1-$L$3)^($J$3-A19))</f>
        <v/>
      </c>
      <c r="F19">
        <f>IF($B$22&gt;0,B19/$B$22,0)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3332338</v>
      </c>
      <c r="C20" t="n">
        <v>26000</v>
      </c>
      <c r="D20">
        <f>C20/$H$3</f>
        <v/>
      </c>
      <c r="E20">
        <f>IF($J$3="",IF($B$22&gt;0,B20/$B$22,0),COMBIN($J$3,A20)*$L$3^A20*(1-$L$3)^($J$3-A20))</f>
        <v/>
      </c>
      <c r="F20">
        <f>IF($B$22&gt;0,B20/$B$22,0)</f>
        <v/>
      </c>
      <c r="G20">
        <f>E20-F20</f>
        <v/>
      </c>
      <c r="H20">
        <f>D20*E20</f>
        <v/>
      </c>
      <c r="I20">
        <f>I19+E20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MAX(ABS(G7:G20))</f>
        <v/>
      </c>
      <c r="H22">
        <f>SUM(H7:H20)</f>
        <v/>
      </c>
      <c r="I22">
        <f>IF($B$3&gt;0,H22/$B$3,0)</f>
        <v/>
      </c>
      <c r="J22">
        <f>IF($D$3="","N/A",ABS(I22-$D$3)&lt;=$F$3)</f>
        <v/>
      </c>
    </row>
    <row r="23">
      <c r="A23" t="inlineStr">
        <is>
          <t>rtp_drift</t>
        </is>
      </c>
      <c r="B23">
        <f>IF($D$3="","",I22-$D$3)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normal_high_14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14</v>
      </c>
      <c r="K3" t="inlineStr">
        <is>
          <t>p_right</t>
        </is>
      </c>
      <c r="L3" t="n">
        <v>0.64292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548</v>
      </c>
      <c r="C7" t="n">
        <v>0</v>
      </c>
      <c r="D7">
        <f>C7/$H$3</f>
        <v/>
      </c>
      <c r="E7">
        <f>IF($J$3="",IF($B$23&gt;0,B7/$B$23,0),COMBIN($J$3,A7)*$L$3^A7*(1-$L$3)^($J$3-A7))</f>
        <v/>
      </c>
      <c r="F7">
        <f>IF($B$23&gt;0,B7/$B$23,0)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13811</v>
      </c>
      <c r="C8" t="n">
        <v>0</v>
      </c>
      <c r="D8">
        <f>C8/$H$3</f>
        <v/>
      </c>
      <c r="E8">
        <f>IF($J$3="",IF($B$23&gt;0,B8/$B$23,0),COMBIN($J$3,A8)*$L$3^A8*(1-$L$3)^($J$3-A8))</f>
        <v/>
      </c>
      <c r="F8">
        <f>IF($B$23&gt;0,B8/$B$23,0)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161637</v>
      </c>
      <c r="C9" t="n">
        <v>0</v>
      </c>
      <c r="D9">
        <f>C9/$H$3</f>
        <v/>
      </c>
      <c r="E9">
        <f>IF($J$3="",IF($B$23&gt;0,B9/$B$23,0),COMBIN($J$3,A9)*$L$3^A9*(1-$L$3)^($J$3-A9))</f>
        <v/>
      </c>
      <c r="F9">
        <f>IF($B$23&gt;0,B9/$B$23,0)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1164107</v>
      </c>
      <c r="C10" t="n">
        <v>0</v>
      </c>
      <c r="D10">
        <f>C10/$H$3</f>
        <v/>
      </c>
      <c r="E10">
        <f>IF($J$3="",IF($B$23&gt;0,B10/$B$23,0),COMBIN($J$3,A10)*$L$3^A10*(1-$L$3)^($J$3-A10))</f>
        <v/>
      </c>
      <c r="F10">
        <f>IF($B$23&gt;0,B10/$B$23,0)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5763908</v>
      </c>
      <c r="C11" t="n">
        <v>0</v>
      </c>
      <c r="D11">
        <f>C11/$H$3</f>
        <v/>
      </c>
      <c r="E11">
        <f>IF($J$3="",IF($B$23&gt;0,B11/$B$23,0),COMBIN($J$3,A11)*$L$3^A11*(1-$L$3)^($J$3-A11))</f>
        <v/>
      </c>
      <c r="F11">
        <f>IF($B$23&gt;0,B11/$B$23,0)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20755752</v>
      </c>
      <c r="C12" t="n">
        <v>0</v>
      </c>
      <c r="D12">
        <f>C12/$H$3</f>
        <v/>
      </c>
      <c r="E12">
        <f>IF($J$3="",IF($B$23&gt;0,B12/$B$23,0),COMBIN($J$3,A12)*$L$3^A12*(1-$L$3)^($J$3-A12))</f>
        <v/>
      </c>
      <c r="F12">
        <f>IF($B$23&gt;0,B12/$B$23,0)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56055877</v>
      </c>
      <c r="C13" t="n">
        <v>0</v>
      </c>
      <c r="D13">
        <f>C13/$H$3</f>
        <v/>
      </c>
      <c r="E13">
        <f>IF($J$3="",IF($B$23&gt;0,B13/$B$23,0),COMBIN($J$3,A13)*$L$3^A13*(1-$L$3)^($J$3-A13))</f>
        <v/>
      </c>
      <c r="F13">
        <f>IF($B$23&gt;0,B13/$B$23,0)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115346524</v>
      </c>
      <c r="C14" t="n">
        <v>0</v>
      </c>
      <c r="D14">
        <f>C14/$H$3</f>
        <v/>
      </c>
      <c r="E14">
        <f>IF($J$3="",IF($B$23&gt;0,B14/$B$23,0),COMBIN($J$3,A14)*$L$3^A14*(1-$L$3)^($J$3-A14))</f>
        <v/>
      </c>
      <c r="F14">
        <f>IF($B$23&gt;0,B14/$B$23,0)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181720522</v>
      </c>
      <c r="C15" t="n">
        <v>0</v>
      </c>
      <c r="D15">
        <f>C15/$H$3</f>
        <v/>
      </c>
      <c r="E15">
        <f>IF($J$3="",IF($B$23&gt;0,B15/$B$23,0),COMBIN($J$3,A15)*$L$3^A15*(1-$L$3)^($J$3-A15))</f>
        <v/>
      </c>
      <c r="F15">
        <f>IF($B$23&gt;0,B15/$B$23,0)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218124339</v>
      </c>
      <c r="C16" t="n">
        <v>0</v>
      </c>
      <c r="D16">
        <f>C16/$H$3</f>
        <v/>
      </c>
      <c r="E16">
        <f>IF($J$3="",IF($B$23&gt;0,B16/$B$23,0),COMBIN($J$3,A16)*$L$3^A16*(1-$L$3)^($J$3-A16))</f>
        <v/>
      </c>
      <c r="F16">
        <f>IF($B$23&gt;0,B16/$B$23,0)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196365661</v>
      </c>
      <c r="C17" t="n">
        <v>0</v>
      </c>
      <c r="D17">
        <f>C17/$H$3</f>
        <v/>
      </c>
      <c r="E17">
        <f>IF($J$3="",IF($B$23&gt;0,B17/$B$23,0),COMBIN($J$3,A17)*$L$3^A17*(1-$L$3)^($J$3-A17))</f>
        <v/>
      </c>
      <c r="F17">
        <f>IF($B$23&gt;0,B17/$B$23,0)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128565446</v>
      </c>
      <c r="C18" t="n">
        <v>0</v>
      </c>
      <c r="D18">
        <f>C18/$H$3</f>
        <v/>
      </c>
      <c r="E18">
        <f>IF($J$3="",IF($B$23&gt;0,B18/$B$23,0),COMBIN($J$3,A18)*$L$3^A18*(1-$L$3)^($J$3-A18))</f>
        <v/>
      </c>
      <c r="F18">
        <f>IF($B$23&gt;0,B18/$B$23,0)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57870293</v>
      </c>
      <c r="C19" t="n">
        <v>8</v>
      </c>
      <c r="D19">
        <f>C19/$H$3</f>
        <v/>
      </c>
      <c r="E19">
        <f>IF($J$3="",IF($B$23&gt;0,B19/$B$23,0),COMBIN($J$3,A19)*$L$3^A19*(1-$L$3)^($J$3-A19))</f>
        <v/>
      </c>
      <c r="F19">
        <f>IF($B$23&gt;0,B19/$B$23,0)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16030008</v>
      </c>
      <c r="C20" t="n">
        <v>562</v>
      </c>
      <c r="D20">
        <f>C20/$H$3</f>
        <v/>
      </c>
      <c r="E20">
        <f>IF($J$3="",IF($B$23&gt;0,B20/$B$23,0),COMBIN($J$3,A20)*$L$3^A20*(1-$L$3)^($J$3-A20))</f>
        <v/>
      </c>
      <c r="F20">
        <f>IF($B$23&gt;0,B20/$B$23,0)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2061385</v>
      </c>
      <c r="C21" t="n">
        <v>42000</v>
      </c>
      <c r="D21">
        <f>C21/$H$3</f>
        <v/>
      </c>
      <c r="E21">
        <f>IF($J$3="",IF($B$23&gt;0,B21/$B$23,0),COMBIN($J$3,A21)*$L$3^A21*(1-$L$3)^($J$3-A21))</f>
        <v/>
      </c>
      <c r="F21">
        <f>IF($B$23&gt;0,B21/$B$23,0)</f>
        <v/>
      </c>
      <c r="G21">
        <f>E21-F21</f>
        <v/>
      </c>
      <c r="H21">
        <f>D21*E21</f>
        <v/>
      </c>
      <c r="I21">
        <f>I20+E21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MAX(ABS(G7:G21))</f>
        <v/>
      </c>
      <c r="H23">
        <f>SUM(H7:H21)</f>
        <v/>
      </c>
      <c r="I23">
        <f>IF($B$3&gt;0,H23/$B$3,0)</f>
        <v/>
      </c>
      <c r="J23">
        <f>IF($D$3="","N/A",ABS(I23-$D$3)&lt;=$F$3)</f>
        <v/>
      </c>
    </row>
    <row r="24">
      <c r="A24" t="inlineStr">
        <is>
          <t>rtp_drift</t>
        </is>
      </c>
      <c r="B24">
        <f>IF($D$3="","",I23-$D$3)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normal_high_15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15</v>
      </c>
      <c r="K3" t="inlineStr">
        <is>
          <t>p_right</t>
        </is>
      </c>
      <c r="L3" t="n">
        <v>0.63187238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309</v>
      </c>
      <c r="C7" t="n">
        <v>0</v>
      </c>
      <c r="D7">
        <f>C7/$H$3</f>
        <v/>
      </c>
      <c r="E7">
        <f>IF($J$3="",IF($B$24&gt;0,B7/$B$24,0),COMBIN($J$3,A7)*$L$3^A7*(1-$L$3)^($J$3-A7))</f>
        <v/>
      </c>
      <c r="F7">
        <f>IF($B$24&gt;0,B7/$B$24,0)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7956</v>
      </c>
      <c r="C8" t="n">
        <v>0</v>
      </c>
      <c r="D8">
        <f>C8/$H$3</f>
        <v/>
      </c>
      <c r="E8">
        <f>IF($J$3="",IF($B$24&gt;0,B8/$B$24,0),COMBIN($J$3,A8)*$L$3^A8*(1-$L$3)^($J$3-A8))</f>
        <v/>
      </c>
      <c r="F8">
        <f>IF($B$24&gt;0,B8/$B$24,0)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95593</v>
      </c>
      <c r="C9" t="n">
        <v>0</v>
      </c>
      <c r="D9">
        <f>C9/$H$3</f>
        <v/>
      </c>
      <c r="E9">
        <f>IF($J$3="",IF($B$24&gt;0,B9/$B$24,0),COMBIN($J$3,A9)*$L$3^A9*(1-$L$3)^($J$3-A9))</f>
        <v/>
      </c>
      <c r="F9">
        <f>IF($B$24&gt;0,B9/$B$24,0)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711018</v>
      </c>
      <c r="C10" t="n">
        <v>0</v>
      </c>
      <c r="D10">
        <f>C10/$H$3</f>
        <v/>
      </c>
      <c r="E10">
        <f>IF($J$3="",IF($B$24&gt;0,B10/$B$24,0),COMBIN($J$3,A10)*$L$3^A10*(1-$L$3)^($J$3-A10))</f>
        <v/>
      </c>
      <c r="F10">
        <f>IF($B$24&gt;0,B10/$B$24,0)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3661277</v>
      </c>
      <c r="C11" t="n">
        <v>0</v>
      </c>
      <c r="D11">
        <f>C11/$H$3</f>
        <v/>
      </c>
      <c r="E11">
        <f>IF($J$3="",IF($B$24&gt;0,B11/$B$24,0),COMBIN($J$3,A11)*$L$3^A11*(1-$L$3)^($J$3-A11))</f>
        <v/>
      </c>
      <c r="F11">
        <f>IF($B$24&gt;0,B11/$B$24,0)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13825671</v>
      </c>
      <c r="C12" t="n">
        <v>0</v>
      </c>
      <c r="D12">
        <f>C12/$H$3</f>
        <v/>
      </c>
      <c r="E12">
        <f>IF($J$3="",IF($B$24&gt;0,B12/$B$24,0),COMBIN($J$3,A12)*$L$3^A12*(1-$L$3)^($J$3-A12))</f>
        <v/>
      </c>
      <c r="F12">
        <f>IF($B$24&gt;0,B12/$B$24,0)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39551771</v>
      </c>
      <c r="C13" t="n">
        <v>0</v>
      </c>
      <c r="D13">
        <f>C13/$H$3</f>
        <v/>
      </c>
      <c r="E13">
        <f>IF($J$3="",IF($B$24&gt;0,B13/$B$24,0),COMBIN($J$3,A13)*$L$3^A13*(1-$L$3)^($J$3-A13))</f>
        <v/>
      </c>
      <c r="F13">
        <f>IF($B$24&gt;0,B13/$B$24,0)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87285354</v>
      </c>
      <c r="C14" t="n">
        <v>0</v>
      </c>
      <c r="D14">
        <f>C14/$H$3</f>
        <v/>
      </c>
      <c r="E14">
        <f>IF($J$3="",IF($B$24&gt;0,B14/$B$24,0),COMBIN($J$3,A14)*$L$3^A14*(1-$L$3)^($J$3-A14))</f>
        <v/>
      </c>
      <c r="F14">
        <f>IF($B$24&gt;0,B14/$B$24,0)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149820881</v>
      </c>
      <c r="C15" t="n">
        <v>0</v>
      </c>
      <c r="D15">
        <f>C15/$H$3</f>
        <v/>
      </c>
      <c r="E15">
        <f>IF($J$3="",IF($B$24&gt;0,B15/$B$24,0),COMBIN($J$3,A15)*$L$3^A15*(1-$L$3)^($J$3-A15))</f>
        <v/>
      </c>
      <c r="F15">
        <f>IF($B$24&gt;0,B15/$B$24,0)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200013288</v>
      </c>
      <c r="C16" t="n">
        <v>0</v>
      </c>
      <c r="D16">
        <f>C16/$H$3</f>
        <v/>
      </c>
      <c r="E16">
        <f>IF($J$3="",IF($B$24&gt;0,B16/$B$24,0),COMBIN($J$3,A16)*$L$3^A16*(1-$L$3)^($J$3-A16))</f>
        <v/>
      </c>
      <c r="F16">
        <f>IF($B$24&gt;0,B16/$B$24,0)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205987596</v>
      </c>
      <c r="C17" t="n">
        <v>0</v>
      </c>
      <c r="D17">
        <f>C17/$H$3</f>
        <v/>
      </c>
      <c r="E17">
        <f>IF($J$3="",IF($B$24&gt;0,B17/$B$24,0),COMBIN($J$3,A17)*$L$3^A17*(1-$L$3)^($J$3-A17))</f>
        <v/>
      </c>
      <c r="F17">
        <f>IF($B$24&gt;0,B17/$B$24,0)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160712390</v>
      </c>
      <c r="C18" t="n">
        <v>0</v>
      </c>
      <c r="D18">
        <f>C18/$H$3</f>
        <v/>
      </c>
      <c r="E18">
        <f>IF($J$3="",IF($B$24&gt;0,B18/$B$24,0),COMBIN($J$3,A18)*$L$3^A18*(1-$L$3)^($J$3-A18))</f>
        <v/>
      </c>
      <c r="F18">
        <f>IF($B$24&gt;0,B18/$B$24,0)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91951555</v>
      </c>
      <c r="C19" t="n">
        <v>7</v>
      </c>
      <c r="D19">
        <f>C19/$H$3</f>
        <v/>
      </c>
      <c r="E19">
        <f>IF($J$3="",IF($B$24&gt;0,B19/$B$24,0),COMBIN($J$3,A19)*$L$3^A19*(1-$L$3)^($J$3-A19))</f>
        <v/>
      </c>
      <c r="F19">
        <f>IF($B$24&gt;0,B19/$B$24,0)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36422349</v>
      </c>
      <c r="C20" t="n">
        <v>144</v>
      </c>
      <c r="D20">
        <f>C20/$H$3</f>
        <v/>
      </c>
      <c r="E20">
        <f>IF($J$3="",IF($B$24&gt;0,B20/$B$24,0),COMBIN($J$3,A20)*$L$3^A20*(1-$L$3)^($J$3-A20))</f>
        <v/>
      </c>
      <c r="F20">
        <f>IF($B$24&gt;0,B20/$B$24,0)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8931016</v>
      </c>
      <c r="C21" t="n">
        <v>2993</v>
      </c>
      <c r="D21">
        <f>C21/$H$3</f>
        <v/>
      </c>
      <c r="E21">
        <f>IF($J$3="",IF($B$24&gt;0,B21/$B$24,0),COMBIN($J$3,A21)*$L$3^A21*(1-$L$3)^($J$3-A21))</f>
        <v/>
      </c>
      <c r="F21">
        <f>IF($B$24&gt;0,B21/$B$24,0)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1023082</v>
      </c>
      <c r="C22" t="n">
        <v>62000</v>
      </c>
      <c r="D22">
        <f>C22/$H$3</f>
        <v/>
      </c>
      <c r="E22">
        <f>IF($J$3="",IF($B$24&gt;0,B22/$B$24,0),COMBIN($J$3,A22)*$L$3^A22*(1-$L$3)^($J$3-A22))</f>
        <v/>
      </c>
      <c r="F22">
        <f>IF($B$24&gt;0,B22/$B$24,0)</f>
        <v/>
      </c>
      <c r="G22">
        <f>E22-F22</f>
        <v/>
      </c>
      <c r="H22">
        <f>D22*E22</f>
        <v/>
      </c>
      <c r="I22">
        <f>I21+E22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MAX(ABS(G7:G22))</f>
        <v/>
      </c>
      <c r="H24">
        <f>SUM(H7:H22)</f>
        <v/>
      </c>
      <c r="I24">
        <f>IF($B$3&gt;0,H24/$B$3,0)</f>
        <v/>
      </c>
      <c r="J24">
        <f>IF($D$3="","N/A",ABS(I24-$D$3)&lt;=$F$3)</f>
        <v/>
      </c>
    </row>
    <row r="25">
      <c r="A25" t="inlineStr">
        <is>
          <t>rtp_drift</t>
        </is>
      </c>
      <c r="B25">
        <f>IF($D$3="","",I24-$D$3)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normal_high_16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16</v>
      </c>
      <c r="K3" t="inlineStr">
        <is>
          <t>p_right</t>
        </is>
      </c>
      <c r="L3" t="n">
        <v>0.60959782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291</v>
      </c>
      <c r="C7" t="n">
        <v>0</v>
      </c>
      <c r="D7">
        <f>C7/$H$3</f>
        <v/>
      </c>
      <c r="E7">
        <f>IF($J$3="",IF($B$25&gt;0,B7/$B$25,0),COMBIN($J$3,A7)*$L$3^A7*(1-$L$3)^($J$3-A7))</f>
        <v/>
      </c>
      <c r="F7">
        <f>IF($B$25&gt;0,B7/$B$25,0)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7275</v>
      </c>
      <c r="C8" t="n">
        <v>0</v>
      </c>
      <c r="D8">
        <f>C8/$H$3</f>
        <v/>
      </c>
      <c r="E8">
        <f>IF($J$3="",IF($B$25&gt;0,B8/$B$25,0),COMBIN($J$3,A8)*$L$3^A8*(1-$L$3)^($J$3-A8))</f>
        <v/>
      </c>
      <c r="F8">
        <f>IF($B$25&gt;0,B8/$B$25,0)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85200</v>
      </c>
      <c r="C9" t="n">
        <v>0</v>
      </c>
      <c r="D9">
        <f>C9/$H$3</f>
        <v/>
      </c>
      <c r="E9">
        <f>IF($J$3="",IF($B$25&gt;0,B9/$B$25,0),COMBIN($J$3,A9)*$L$3^A9*(1-$L$3)^($J$3-A9))</f>
        <v/>
      </c>
      <c r="F9">
        <f>IF($B$25&gt;0,B9/$B$25,0)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620837</v>
      </c>
      <c r="C10" t="n">
        <v>0</v>
      </c>
      <c r="D10">
        <f>C10/$H$3</f>
        <v/>
      </c>
      <c r="E10">
        <f>IF($J$3="",IF($B$25&gt;0,B10/$B$25,0),COMBIN($J$3,A10)*$L$3^A10*(1-$L$3)^($J$3-A10))</f>
        <v/>
      </c>
      <c r="F10">
        <f>IF($B$25&gt;0,B10/$B$25,0)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3150589</v>
      </c>
      <c r="C11" t="n">
        <v>0</v>
      </c>
      <c r="D11">
        <f>C11/$H$3</f>
        <v/>
      </c>
      <c r="E11">
        <f>IF($J$3="",IF($B$25&gt;0,B11/$B$25,0),COMBIN($J$3,A11)*$L$3^A11*(1-$L$3)^($J$3-A11))</f>
        <v/>
      </c>
      <c r="F11">
        <f>IF($B$25&gt;0,B11/$B$25,0)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11806855</v>
      </c>
      <c r="C12" t="n">
        <v>0</v>
      </c>
      <c r="D12">
        <f>C12/$H$3</f>
        <v/>
      </c>
      <c r="E12">
        <f>IF($J$3="",IF($B$25&gt;0,B12/$B$25,0),COMBIN($J$3,A12)*$L$3^A12*(1-$L$3)^($J$3-A12))</f>
        <v/>
      </c>
      <c r="F12">
        <f>IF($B$25&gt;0,B12/$B$25,0)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33799231</v>
      </c>
      <c r="C13" t="n">
        <v>0</v>
      </c>
      <c r="D13">
        <f>C13/$H$3</f>
        <v/>
      </c>
      <c r="E13">
        <f>IF($J$3="",IF($B$25&gt;0,B13/$B$25,0),COMBIN($J$3,A13)*$L$3^A13*(1-$L$3)^($J$3-A13))</f>
        <v/>
      </c>
      <c r="F13">
        <f>IF($B$25&gt;0,B13/$B$25,0)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75394551</v>
      </c>
      <c r="C14" t="n">
        <v>0</v>
      </c>
      <c r="D14">
        <f>C14/$H$3</f>
        <v/>
      </c>
      <c r="E14">
        <f>IF($J$3="",IF($B$25&gt;0,B14/$B$25,0),COMBIN($J$3,A14)*$L$3^A14*(1-$L$3)^($J$3-A14))</f>
        <v/>
      </c>
      <c r="F14">
        <f>IF($B$25&gt;0,B14/$B$25,0)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132441367</v>
      </c>
      <c r="C15" t="n">
        <v>0</v>
      </c>
      <c r="D15">
        <f>C15/$H$3</f>
        <v/>
      </c>
      <c r="E15">
        <f>IF($J$3="",IF($B$25&gt;0,B15/$B$25,0),COMBIN($J$3,A15)*$L$3^A15*(1-$L$3)^($J$3-A15))</f>
        <v/>
      </c>
      <c r="F15">
        <f>IF($B$25&gt;0,B15/$B$25,0)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183824040</v>
      </c>
      <c r="C16" t="n">
        <v>0</v>
      </c>
      <c r="D16">
        <f>C16/$H$3</f>
        <v/>
      </c>
      <c r="E16">
        <f>IF($J$3="",IF($B$25&gt;0,B16/$B$25,0),COMBIN($J$3,A16)*$L$3^A16*(1-$L$3)^($J$3-A16))</f>
        <v/>
      </c>
      <c r="F16">
        <f>IF($B$25&gt;0,B16/$B$25,0)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200923864</v>
      </c>
      <c r="C17" t="n">
        <v>0</v>
      </c>
      <c r="D17">
        <f>C17/$H$3</f>
        <v/>
      </c>
      <c r="E17">
        <f>IF($J$3="",IF($B$25&gt;0,B17/$B$25,0),COMBIN($J$3,A17)*$L$3^A17*(1-$L$3)^($J$3-A17))</f>
        <v/>
      </c>
      <c r="F17">
        <f>IF($B$25&gt;0,B17/$B$25,0)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171128074</v>
      </c>
      <c r="C18" t="n">
        <v>1</v>
      </c>
      <c r="D18">
        <f>C18/$H$3</f>
        <v/>
      </c>
      <c r="E18">
        <f>IF($J$3="",IF($B$25&gt;0,B18/$B$25,0),COMBIN($J$3,A18)*$L$3^A18*(1-$L$3)^($J$3-A18))</f>
        <v/>
      </c>
      <c r="F18">
        <f>IF($B$25&gt;0,B18/$B$25,0)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111337431</v>
      </c>
      <c r="C19" t="n">
        <v>9</v>
      </c>
      <c r="D19">
        <f>C19/$H$3</f>
        <v/>
      </c>
      <c r="E19">
        <f>IF($J$3="",IF($B$25&gt;0,B19/$B$25,0),COMBIN($J$3,A19)*$L$3^A19*(1-$L$3)^($J$3-A19))</f>
        <v/>
      </c>
      <c r="F19">
        <f>IF($B$25&gt;0,B19/$B$25,0)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53492021</v>
      </c>
      <c r="C20" t="n">
        <v>93</v>
      </c>
      <c r="D20">
        <f>C20/$H$3</f>
        <v/>
      </c>
      <c r="E20">
        <f>IF($J$3="",IF($B$25&gt;0,B20/$B$25,0),COMBIN($J$3,A20)*$L$3^A20*(1-$L$3)^($J$3-A20))</f>
        <v/>
      </c>
      <c r="F20">
        <f>IF($B$25&gt;0,B20/$B$25,0)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17898367</v>
      </c>
      <c r="C21" t="n">
        <v>955</v>
      </c>
      <c r="D21">
        <f>C21/$H$3</f>
        <v/>
      </c>
      <c r="E21">
        <f>IF($J$3="",IF($B$25&gt;0,B21/$B$25,0),COMBIN($J$3,A21)*$L$3^A21*(1-$L$3)^($J$3-A21))</f>
        <v/>
      </c>
      <c r="F21">
        <f>IF($B$25&gt;0,B21/$B$25,0)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3726347</v>
      </c>
      <c r="C22" t="n">
        <v>9772</v>
      </c>
      <c r="D22">
        <f>C22/$H$3</f>
        <v/>
      </c>
      <c r="E22">
        <f>IF($J$3="",IF($B$25&gt;0,B22/$B$25,0),COMBIN($J$3,A22)*$L$3^A22*(1-$L$3)^($J$3-A22))</f>
        <v/>
      </c>
      <c r="F22">
        <f>IF($B$25&gt;0,B22/$B$25,0)</f>
        <v/>
      </c>
      <c r="G22">
        <f>E22-F22</f>
        <v/>
      </c>
      <c r="H22">
        <f>D22*E22</f>
        <v/>
      </c>
      <c r="I22">
        <f>I21+E22</f>
        <v/>
      </c>
    </row>
    <row r="23">
      <c r="A23" t="n">
        <v>16</v>
      </c>
      <c r="B23" t="n">
        <v>363953</v>
      </c>
      <c r="C23" t="n">
        <v>100000</v>
      </c>
      <c r="D23">
        <f>C23/$H$3</f>
        <v/>
      </c>
      <c r="E23">
        <f>IF($J$3="",IF($B$25&gt;0,B23/$B$25,0),COMBIN($J$3,A23)*$L$3^A23*(1-$L$3)^($J$3-A23))</f>
        <v/>
      </c>
      <c r="F23">
        <f>IF($B$25&gt;0,B23/$B$25,0)</f>
        <v/>
      </c>
      <c r="G23">
        <f>E23-F23</f>
        <v/>
      </c>
      <c r="H23">
        <f>D23*E23</f>
        <v/>
      </c>
      <c r="I23">
        <f>I22+E23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MAX(ABS(G7:G23))</f>
        <v/>
      </c>
      <c r="H25">
        <f>SUM(H7:H23)</f>
        <v/>
      </c>
      <c r="I25">
        <f>IF($B$3&gt;0,H25/$B$3,0)</f>
        <v/>
      </c>
      <c r="J25">
        <f>IF($D$3="","N/A",ABS(I25-$D$3)&lt;=$F$3)</f>
        <v/>
      </c>
    </row>
    <row r="26">
      <c r="A26" t="inlineStr">
        <is>
          <t>rtp_drift</t>
        </is>
      </c>
      <c r="B26">
        <f>IF($D$3="","",I25-$D$3)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normal_high_8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8</v>
      </c>
      <c r="K3" t="inlineStr">
        <is>
          <t>p_right</t>
        </is>
      </c>
      <c r="L3" t="n">
        <v>0.64492461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252676</v>
      </c>
      <c r="C7" t="n">
        <v>0</v>
      </c>
      <c r="D7">
        <f>C7/$H$3</f>
        <v/>
      </c>
      <c r="E7">
        <f>IF($J$3="",IF($B$17&gt;0,B7/$B$17,0),COMBIN($J$3,A7)*$L$3^A7*(1-$L$3)^($J$3-A7))</f>
        <v/>
      </c>
      <c r="F7">
        <f>IF($B$17&gt;0,B7/$B$17,0)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3671495</v>
      </c>
      <c r="C8" t="n">
        <v>0</v>
      </c>
      <c r="D8">
        <f>C8/$H$3</f>
        <v/>
      </c>
      <c r="E8">
        <f>IF($J$3="",IF($B$17&gt;0,B8/$B$17,0),COMBIN($J$3,A8)*$L$3^A8*(1-$L$3)^($J$3-A8))</f>
        <v/>
      </c>
      <c r="F8">
        <f>IF($B$17&gt;0,B8/$B$17,0)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23339919</v>
      </c>
      <c r="C9" t="n">
        <v>0</v>
      </c>
      <c r="D9">
        <f>C9/$H$3</f>
        <v/>
      </c>
      <c r="E9">
        <f>IF($J$3="",IF($B$17&gt;0,B9/$B$17,0),COMBIN($J$3,A9)*$L$3^A9*(1-$L$3)^($J$3-A9))</f>
        <v/>
      </c>
      <c r="F9">
        <f>IF($B$17&gt;0,B9/$B$17,0)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84784746</v>
      </c>
      <c r="C10" t="n">
        <v>0</v>
      </c>
      <c r="D10">
        <f>C10/$H$3</f>
        <v/>
      </c>
      <c r="E10">
        <f>IF($J$3="",IF($B$17&gt;0,B10/$B$17,0),COMBIN($J$3,A10)*$L$3^A10*(1-$L$3)^($J$3-A10))</f>
        <v/>
      </c>
      <c r="F10">
        <f>IF($B$17&gt;0,B10/$B$17,0)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192493523</v>
      </c>
      <c r="C11" t="n">
        <v>0</v>
      </c>
      <c r="D11">
        <f>C11/$H$3</f>
        <v/>
      </c>
      <c r="E11">
        <f>IF($J$3="",IF($B$17&gt;0,B11/$B$17,0),COMBIN($J$3,A11)*$L$3^A11*(1-$L$3)^($J$3-A11))</f>
        <v/>
      </c>
      <c r="F11">
        <f>IF($B$17&gt;0,B11/$B$17,0)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279701305</v>
      </c>
      <c r="C12" t="n">
        <v>0</v>
      </c>
      <c r="D12">
        <f>C12/$H$3</f>
        <v/>
      </c>
      <c r="E12">
        <f>IF($J$3="",IF($B$17&gt;0,B12/$B$17,0),COMBIN($J$3,A12)*$L$3^A12*(1-$L$3)^($J$3-A12))</f>
        <v/>
      </c>
      <c r="F12">
        <f>IF($B$17&gt;0,B12/$B$17,0)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254011209</v>
      </c>
      <c r="C13" t="n">
        <v>2</v>
      </c>
      <c r="D13">
        <f>C13/$H$3</f>
        <v/>
      </c>
      <c r="E13">
        <f>IF($J$3="",IF($B$17&gt;0,B13/$B$17,0),COMBIN($J$3,A13)*$L$3^A13*(1-$L$3)^($J$3-A13))</f>
        <v/>
      </c>
      <c r="F13">
        <f>IF($B$17&gt;0,B13/$B$17,0)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131817546</v>
      </c>
      <c r="C14" t="n">
        <v>67</v>
      </c>
      <c r="D14">
        <f>C14/$H$3</f>
        <v/>
      </c>
      <c r="E14">
        <f>IF($J$3="",IF($B$17&gt;0,B14/$B$17,0),COMBIN($J$3,A14)*$L$3^A14*(1-$L$3)^($J$3-A14))</f>
        <v/>
      </c>
      <c r="F14">
        <f>IF($B$17&gt;0,B14/$B$17,0)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29899127</v>
      </c>
      <c r="C15" t="n">
        <v>2900</v>
      </c>
      <c r="D15">
        <f>C15/$H$3</f>
        <v/>
      </c>
      <c r="E15">
        <f>IF($J$3="",IF($B$17&gt;0,B15/$B$17,0),COMBIN($J$3,A15)*$L$3^A15*(1-$L$3)^($J$3-A15))</f>
        <v/>
      </c>
      <c r="F15">
        <f>IF($B$17&gt;0,B15/$B$17,0)</f>
        <v/>
      </c>
      <c r="G15">
        <f>E15-F15</f>
        <v/>
      </c>
      <c r="H15">
        <f>D15*E15</f>
        <v/>
      </c>
      <c r="I15">
        <f>I14+E15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MAX(ABS(G7:G15))</f>
        <v/>
      </c>
      <c r="H17">
        <f>SUM(H7:H15)</f>
        <v/>
      </c>
      <c r="I17">
        <f>IF($B$3&gt;0,H17/$B$3,0)</f>
        <v/>
      </c>
      <c r="J17">
        <f>IF($D$3="","N/A",ABS(I17-$D$3)&lt;=$F$3)</f>
        <v/>
      </c>
    </row>
    <row r="18">
      <c r="A18" t="inlineStr">
        <is>
          <t>rtp_drift</t>
        </is>
      </c>
      <c r="B18">
        <f>IF($D$3="","",I17-$D$3)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normal_high_9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9</v>
      </c>
      <c r="K3" t="inlineStr">
        <is>
          <t>p_right</t>
        </is>
      </c>
      <c r="L3" t="n">
        <v>0.64806741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82820</v>
      </c>
      <c r="C7" t="n">
        <v>0</v>
      </c>
      <c r="D7">
        <f>C7/$H$3</f>
        <v/>
      </c>
      <c r="E7">
        <f>IF($J$3="",IF($B$18&gt;0,B7/$B$18,0),COMBIN($J$3,A7)*$L$3^A7*(1-$L$3)^($J$3-A7))</f>
        <v/>
      </c>
      <c r="F7">
        <f>IF($B$18&gt;0,B7/$B$18,0)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1372583</v>
      </c>
      <c r="C8" t="n">
        <v>0</v>
      </c>
      <c r="D8">
        <f>C8/$H$3</f>
        <v/>
      </c>
      <c r="E8">
        <f>IF($J$3="",IF($B$18&gt;0,B8/$B$18,0),COMBIN($J$3,A8)*$L$3^A8*(1-$L$3)^($J$3-A8))</f>
        <v/>
      </c>
      <c r="F8">
        <f>IF($B$18&gt;0,B8/$B$18,0)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10110190</v>
      </c>
      <c r="C9" t="n">
        <v>0</v>
      </c>
      <c r="D9">
        <f>C9/$H$3</f>
        <v/>
      </c>
      <c r="E9">
        <f>IF($J$3="",IF($B$18&gt;0,B9/$B$18,0),COMBIN($J$3,A9)*$L$3^A9*(1-$L$3)^($J$3-A9))</f>
        <v/>
      </c>
      <c r="F9">
        <f>IF($B$18&gt;0,B9/$B$18,0)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43440696</v>
      </c>
      <c r="C10" t="n">
        <v>0</v>
      </c>
      <c r="D10">
        <f>C10/$H$3</f>
        <v/>
      </c>
      <c r="E10">
        <f>IF($J$3="",IF($B$18&gt;0,B10/$B$18,0),COMBIN($J$3,A10)*$L$3^A10*(1-$L$3)^($J$3-A10))</f>
        <v/>
      </c>
      <c r="F10">
        <f>IF($B$18&gt;0,B10/$B$18,0)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119991013</v>
      </c>
      <c r="C11" t="n">
        <v>0</v>
      </c>
      <c r="D11">
        <f>C11/$H$3</f>
        <v/>
      </c>
      <c r="E11">
        <f>IF($J$3="",IF($B$18&gt;0,B11/$B$18,0),COMBIN($J$3,A11)*$L$3^A11*(1-$L$3)^($J$3-A11))</f>
        <v/>
      </c>
      <c r="F11">
        <f>IF($B$18&gt;0,B11/$B$18,0)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220957835</v>
      </c>
      <c r="C12" t="n">
        <v>0</v>
      </c>
      <c r="D12">
        <f>C12/$H$3</f>
        <v/>
      </c>
      <c r="E12">
        <f>IF($J$3="",IF($B$18&gt;0,B12/$B$18,0),COMBIN($J$3,A12)*$L$3^A12*(1-$L$3)^($J$3-A12))</f>
        <v/>
      </c>
      <c r="F12">
        <f>IF($B$18&gt;0,B12/$B$18,0)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271255676</v>
      </c>
      <c r="C13" t="n">
        <v>0</v>
      </c>
      <c r="D13">
        <f>C13/$H$3</f>
        <v/>
      </c>
      <c r="E13">
        <f>IF($J$3="",IF($B$18&gt;0,B13/$B$18,0),COMBIN($J$3,A13)*$L$3^A13*(1-$L$3)^($J$3-A13))</f>
        <v/>
      </c>
      <c r="F13">
        <f>IF($B$18&gt;0,B13/$B$18,0)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214073415</v>
      </c>
      <c r="C14" t="n">
        <v>2</v>
      </c>
      <c r="D14">
        <f>C14/$H$3</f>
        <v/>
      </c>
      <c r="E14">
        <f>IF($J$3="",IF($B$18&gt;0,B14/$B$18,0),COMBIN($J$3,A14)*$L$3^A14*(1-$L$3)^($J$3-A14))</f>
        <v/>
      </c>
      <c r="F14">
        <f>IF($B$18&gt;0,B14/$B$18,0)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98551544</v>
      </c>
      <c r="C15" t="n">
        <v>91</v>
      </c>
      <c r="D15">
        <f>C15/$H$3</f>
        <v/>
      </c>
      <c r="E15">
        <f>IF($J$3="",IF($B$18&gt;0,B15/$B$18,0),COMBIN($J$3,A15)*$L$3^A15*(1-$L$3)^($J$3-A15))</f>
        <v/>
      </c>
      <c r="F15">
        <f>IF($B$18&gt;0,B15/$B$18,0)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20151736</v>
      </c>
      <c r="C16" t="n">
        <v>4300</v>
      </c>
      <c r="D16">
        <f>C16/$H$3</f>
        <v/>
      </c>
      <c r="E16">
        <f>IF($J$3="",IF($B$18&gt;0,B16/$B$18,0),COMBIN($J$3,A16)*$L$3^A16*(1-$L$3)^($J$3-A16))</f>
        <v/>
      </c>
      <c r="F16">
        <f>IF($B$18&gt;0,B16/$B$18,0)</f>
        <v/>
      </c>
      <c r="G16">
        <f>E16-F16</f>
        <v/>
      </c>
      <c r="H16">
        <f>D16*E16</f>
        <v/>
      </c>
      <c r="I16">
        <f>I15+E16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MAX(ABS(G7:G16))</f>
        <v/>
      </c>
      <c r="H18">
        <f>SUM(H7:H16)</f>
        <v/>
      </c>
      <c r="I18">
        <f>IF($B$3&gt;0,H18/$B$3,0)</f>
        <v/>
      </c>
      <c r="J18">
        <f>IF($D$3="","N/A",ABS(I18-$D$3)&lt;=$F$3)</f>
        <v/>
      </c>
    </row>
    <row r="19">
      <c r="A19" t="inlineStr">
        <is>
          <t>rtp_drift</t>
        </is>
      </c>
      <c r="B19">
        <f>IF($D$3="","",I18-$D$3)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normal_low_10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10</v>
      </c>
      <c r="K3" t="inlineStr">
        <is>
          <t>p_right</t>
        </is>
      </c>
      <c r="L3" t="n">
        <v>0.6788888199999999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11656</v>
      </c>
      <c r="C7" t="n">
        <v>0</v>
      </c>
      <c r="D7">
        <f>C7/$H$3</f>
        <v/>
      </c>
      <c r="E7">
        <f>IF($J$3="",IF($B$19&gt;0,B7/$B$19,0),COMBIN($J$3,A7)*$L$3^A7*(1-$L$3)^($J$3-A7))</f>
        <v/>
      </c>
      <c r="F7">
        <f>IF($B$19&gt;0,B7/$B$19,0)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246432</v>
      </c>
      <c r="C8" t="n">
        <v>0</v>
      </c>
      <c r="D8">
        <f>C8/$H$3</f>
        <v/>
      </c>
      <c r="E8">
        <f>IF($J$3="",IF($B$19&gt;0,B8/$B$19,0),COMBIN($J$3,A8)*$L$3^A8*(1-$L$3)^($J$3-A8))</f>
        <v/>
      </c>
      <c r="F8">
        <f>IF($B$19&gt;0,B8/$B$19,0)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2344516</v>
      </c>
      <c r="C9" t="n">
        <v>0</v>
      </c>
      <c r="D9">
        <f>C9/$H$3</f>
        <v/>
      </c>
      <c r="E9">
        <f>IF($J$3="",IF($B$19&gt;0,B9/$B$19,0),COMBIN($J$3,A9)*$L$3^A9*(1-$L$3)^($J$3-A9))</f>
        <v/>
      </c>
      <c r="F9">
        <f>IF($B$19&gt;0,B9/$B$19,0)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13217984</v>
      </c>
      <c r="C10" t="n">
        <v>1</v>
      </c>
      <c r="D10">
        <f>C10/$H$3</f>
        <v/>
      </c>
      <c r="E10">
        <f>IF($J$3="",IF($B$19&gt;0,B10/$B$19,0),COMBIN($J$3,A10)*$L$3^A10*(1-$L$3)^($J$3-A10))</f>
        <v/>
      </c>
      <c r="F10">
        <f>IF($B$19&gt;0,B10/$B$19,0)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48904239</v>
      </c>
      <c r="C11" t="n">
        <v>3</v>
      </c>
      <c r="D11">
        <f>C11/$H$3</f>
        <v/>
      </c>
      <c r="E11">
        <f>IF($J$3="",IF($B$19&gt;0,B11/$B$19,0),COMBIN($J$3,A11)*$L$3^A11*(1-$L$3)^($J$3-A11))</f>
        <v/>
      </c>
      <c r="F11">
        <f>IF($B$19&gt;0,B11/$B$19,0)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124071197</v>
      </c>
      <c r="C12" t="n">
        <v>7</v>
      </c>
      <c r="D12">
        <f>C12/$H$3</f>
        <v/>
      </c>
      <c r="E12">
        <f>IF($J$3="",IF($B$19&gt;0,B12/$B$19,0),COMBIN($J$3,A12)*$L$3^A12*(1-$L$3)^($J$3-A12))</f>
        <v/>
      </c>
      <c r="F12">
        <f>IF($B$19&gt;0,B12/$B$19,0)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218591337</v>
      </c>
      <c r="C13" t="n">
        <v>18</v>
      </c>
      <c r="D13">
        <f>C13/$H$3</f>
        <v/>
      </c>
      <c r="E13">
        <f>IF($J$3="",IF($B$19&gt;0,B13/$B$19,0),COMBIN($J$3,A13)*$L$3^A13*(1-$L$3)^($J$3-A13))</f>
        <v/>
      </c>
      <c r="F13">
        <f>IF($B$19&gt;0,B13/$B$19,0)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264081587</v>
      </c>
      <c r="C14" t="n">
        <v>48</v>
      </c>
      <c r="D14">
        <f>C14/$H$3</f>
        <v/>
      </c>
      <c r="E14">
        <f>IF($J$3="",IF($B$19&gt;0,B14/$B$19,0),COMBIN($J$3,A14)*$L$3^A14*(1-$L$3)^($J$3-A14))</f>
        <v/>
      </c>
      <c r="F14">
        <f>IF($B$19&gt;0,B14/$B$19,0)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209369112</v>
      </c>
      <c r="C15" t="n">
        <v>127</v>
      </c>
      <c r="D15">
        <f>C15/$H$3</f>
        <v/>
      </c>
      <c r="E15">
        <f>IF($J$3="",IF($B$19&gt;0,B15/$B$19,0),COMBIN($J$3,A15)*$L$3^A15*(1-$L$3)^($J$3-A15))</f>
        <v/>
      </c>
      <c r="F15">
        <f>IF($B$19&gt;0,B15/$B$19,0)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98365617</v>
      </c>
      <c r="C16" t="n">
        <v>337</v>
      </c>
      <c r="D16">
        <f>C16/$H$3</f>
        <v/>
      </c>
      <c r="E16">
        <f>IF($J$3="",IF($B$19&gt;0,B16/$B$19,0),COMBIN($J$3,A16)*$L$3^A16*(1-$L$3)^($J$3-A16))</f>
        <v/>
      </c>
      <c r="F16">
        <f>IF($B$19&gt;0,B16/$B$19,0)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21001869</v>
      </c>
      <c r="C17" t="n">
        <v>890</v>
      </c>
      <c r="D17">
        <f>C17/$H$3</f>
        <v/>
      </c>
      <c r="E17">
        <f>IF($J$3="",IF($B$19&gt;0,B17/$B$19,0),COMBIN($J$3,A17)*$L$3^A17*(1-$L$3)^($J$3-A17))</f>
        <v/>
      </c>
      <c r="F17">
        <f>IF($B$19&gt;0,B17/$B$19,0)</f>
        <v/>
      </c>
      <c r="G17">
        <f>E17-F17</f>
        <v/>
      </c>
      <c r="H17">
        <f>D17*E17</f>
        <v/>
      </c>
      <c r="I17">
        <f>I16+E17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MAX(ABS(G7:G17))</f>
        <v/>
      </c>
      <c r="H19">
        <f>SUM(H7:H17)</f>
        <v/>
      </c>
      <c r="I19">
        <f>IF($B$3&gt;0,H19/$B$3,0)</f>
        <v/>
      </c>
      <c r="J19">
        <f>IF($D$3="","N/A",ABS(I19-$D$3)&lt;=$F$3)</f>
        <v/>
      </c>
    </row>
    <row r="20">
      <c r="A20" t="inlineStr">
        <is>
          <t>rtp_drift</t>
        </is>
      </c>
      <c r="B20">
        <f>IF($D$3="","",I19-$D$3)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normal_low_11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11</v>
      </c>
      <c r="K3" t="inlineStr">
        <is>
          <t>p_right</t>
        </is>
      </c>
      <c r="L3" t="n">
        <v>0.71448555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1028</v>
      </c>
      <c r="C7" t="n">
        <v>0</v>
      </c>
      <c r="D7">
        <f>C7/$H$3</f>
        <v/>
      </c>
      <c r="E7">
        <f>IF($J$3="",IF($B$20&gt;0,B7/$B$20,0),COMBIN($J$3,A7)*$L$3^A7*(1-$L$3)^($J$3-A7))</f>
        <v/>
      </c>
      <c r="F7">
        <f>IF($B$20&gt;0,B7/$B$20,0)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28292</v>
      </c>
      <c r="C8" t="n">
        <v>0</v>
      </c>
      <c r="D8">
        <f>C8/$H$3</f>
        <v/>
      </c>
      <c r="E8">
        <f>IF($J$3="",IF($B$20&gt;0,B8/$B$20,0),COMBIN($J$3,A8)*$L$3^A8*(1-$L$3)^($J$3-A8))</f>
        <v/>
      </c>
      <c r="F8">
        <f>IF($B$20&gt;0,B8/$B$20,0)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353999</v>
      </c>
      <c r="C9" t="n">
        <v>0</v>
      </c>
      <c r="D9">
        <f>C9/$H$3</f>
        <v/>
      </c>
      <c r="E9">
        <f>IF($J$3="",IF($B$20&gt;0,B9/$B$20,0),COMBIN($J$3,A9)*$L$3^A9*(1-$L$3)^($J$3-A9))</f>
        <v/>
      </c>
      <c r="F9">
        <f>IF($B$20&gt;0,B9/$B$20,0)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2657597</v>
      </c>
      <c r="C10" t="n">
        <v>0</v>
      </c>
      <c r="D10">
        <f>C10/$H$3</f>
        <v/>
      </c>
      <c r="E10">
        <f>IF($J$3="",IF($B$20&gt;0,B10/$B$20,0),COMBIN($J$3,A10)*$L$3^A10*(1-$L$3)^($J$3-A10))</f>
        <v/>
      </c>
      <c r="F10">
        <f>IF($B$20&gt;0,B10/$B$20,0)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13301004</v>
      </c>
      <c r="C11" t="n">
        <v>1</v>
      </c>
      <c r="D11">
        <f>C11/$H$3</f>
        <v/>
      </c>
      <c r="E11">
        <f>IF($J$3="",IF($B$20&gt;0,B11/$B$20,0),COMBIN($J$3,A11)*$L$3^A11*(1-$L$3)^($J$3-A11))</f>
        <v/>
      </c>
      <c r="F11">
        <f>IF($B$20&gt;0,B11/$B$20,0)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46599130</v>
      </c>
      <c r="C12" t="n">
        <v>2</v>
      </c>
      <c r="D12">
        <f>C12/$H$3</f>
        <v/>
      </c>
      <c r="E12">
        <f>IF($J$3="",IF($B$20&gt;0,B12/$B$20,0),COMBIN($J$3,A12)*$L$3^A12*(1-$L$3)^($J$3-A12))</f>
        <v/>
      </c>
      <c r="F12">
        <f>IF($B$20&gt;0,B12/$B$20,0)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116611977</v>
      </c>
      <c r="C13" t="n">
        <v>6</v>
      </c>
      <c r="D13">
        <f>C13/$H$3</f>
        <v/>
      </c>
      <c r="E13">
        <f>IF($J$3="",IF($B$20&gt;0,B13/$B$20,0),COMBIN($J$3,A13)*$L$3^A13*(1-$L$3)^($J$3-A13))</f>
        <v/>
      </c>
      <c r="F13">
        <f>IF($B$20&gt;0,B13/$B$20,0)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208439715</v>
      </c>
      <c r="C14" t="n">
        <v>16</v>
      </c>
      <c r="D14">
        <f>C14/$H$3</f>
        <v/>
      </c>
      <c r="E14">
        <f>IF($J$3="",IF($B$20&gt;0,B14/$B$20,0),COMBIN($J$3,A14)*$L$3^A14*(1-$L$3)^($J$3-A14))</f>
        <v/>
      </c>
      <c r="F14">
        <f>IF($B$20&gt;0,B14/$B$20,0)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260804945</v>
      </c>
      <c r="C15" t="n">
        <v>44</v>
      </c>
      <c r="D15">
        <f>C15/$H$3</f>
        <v/>
      </c>
      <c r="E15">
        <f>IF($J$3="",IF($B$20&gt;0,B15/$B$20,0),COMBIN($J$3,A15)*$L$3^A15*(1-$L$3)^($J$3-A15))</f>
        <v/>
      </c>
      <c r="F15">
        <f>IF($B$20&gt;0,B15/$B$20,0)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217550413</v>
      </c>
      <c r="C16" t="n">
        <v>117</v>
      </c>
      <c r="D16">
        <f>C16/$H$3</f>
        <v/>
      </c>
      <c r="E16">
        <f>IF($J$3="",IF($B$20&gt;0,B16/$B$20,0),COMBIN($J$3,A16)*$L$3^A16*(1-$L$3)^($J$3-A16))</f>
        <v/>
      </c>
      <c r="F16">
        <f>IF($B$20&gt;0,B16/$B$20,0)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108881791</v>
      </c>
      <c r="C17" t="n">
        <v>314</v>
      </c>
      <c r="D17">
        <f>C17/$H$3</f>
        <v/>
      </c>
      <c r="E17">
        <f>IF($J$3="",IF($B$20&gt;0,B17/$B$20,0),COMBIN($J$3,A17)*$L$3^A17*(1-$L$3)^($J$3-A17))</f>
        <v/>
      </c>
      <c r="F17">
        <f>IF($B$20&gt;0,B17/$B$20,0)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24748876</v>
      </c>
      <c r="C18" t="n">
        <v>840</v>
      </c>
      <c r="D18">
        <f>C18/$H$3</f>
        <v/>
      </c>
      <c r="E18">
        <f>IF($J$3="",IF($B$20&gt;0,B18/$B$20,0),COMBIN($J$3,A18)*$L$3^A18*(1-$L$3)^($J$3-A18))</f>
        <v/>
      </c>
      <c r="F18">
        <f>IF($B$20&gt;0,B18/$B$20,0)</f>
        <v/>
      </c>
      <c r="G18">
        <f>E18-F18</f>
        <v/>
      </c>
      <c r="H18">
        <f>D18*E18</f>
        <v/>
      </c>
      <c r="I18">
        <f>I17+E18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MAX(ABS(G7:G18))</f>
        <v/>
      </c>
      <c r="H20">
        <f>SUM(H7:H18)</f>
        <v/>
      </c>
      <c r="I20">
        <f>IF($B$3&gt;0,H20/$B$3,0)</f>
        <v/>
      </c>
      <c r="J20">
        <f>IF($D$3="","N/A",ABS(I20-$D$3)&lt;=$F$3)</f>
        <v/>
      </c>
    </row>
    <row r="21">
      <c r="A21" t="inlineStr">
        <is>
          <t>rtp_drift</t>
        </is>
      </c>
      <c r="B21">
        <f>IF($D$3="","",I20-$D$3)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normal_low_12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12</v>
      </c>
      <c r="K3" t="inlineStr">
        <is>
          <t>p_right</t>
        </is>
      </c>
      <c r="L3" t="n">
        <v>0.69989846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534</v>
      </c>
      <c r="C7" t="n">
        <v>0</v>
      </c>
      <c r="D7">
        <f>C7/$H$3</f>
        <v/>
      </c>
      <c r="E7">
        <f>IF($J$3="",IF($B$21&gt;0,B7/$B$21,0),COMBIN($J$3,A7)*$L$3^A7*(1-$L$3)^($J$3-A7))</f>
        <v/>
      </c>
      <c r="F7">
        <f>IF($B$21&gt;0,B7/$B$21,0)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14934</v>
      </c>
      <c r="C8" t="n">
        <v>0</v>
      </c>
      <c r="D8">
        <f>C8/$H$3</f>
        <v/>
      </c>
      <c r="E8">
        <f>IF($J$3="",IF($B$21&gt;0,B8/$B$21,0),COMBIN($J$3,A8)*$L$3^A8*(1-$L$3)^($J$3-A8))</f>
        <v/>
      </c>
      <c r="F8">
        <f>IF($B$21&gt;0,B8/$B$21,0)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191556</v>
      </c>
      <c r="C9" t="n">
        <v>0</v>
      </c>
      <c r="D9">
        <f>C9/$H$3</f>
        <v/>
      </c>
      <c r="E9">
        <f>IF($J$3="",IF($B$21&gt;0,B9/$B$21,0),COMBIN($J$3,A9)*$L$3^A9*(1-$L$3)^($J$3-A9))</f>
        <v/>
      </c>
      <c r="F9">
        <f>IF($B$21&gt;0,B9/$B$21,0)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1489162</v>
      </c>
      <c r="C10" t="n">
        <v>0</v>
      </c>
      <c r="D10">
        <f>C10/$H$3</f>
        <v/>
      </c>
      <c r="E10">
        <f>IF($J$3="",IF($B$21&gt;0,B10/$B$21,0),COMBIN($J$3,A10)*$L$3^A10*(1-$L$3)^($J$3-A10))</f>
        <v/>
      </c>
      <c r="F10">
        <f>IF($B$21&gt;0,B10/$B$21,0)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7814319</v>
      </c>
      <c r="C11" t="n">
        <v>1</v>
      </c>
      <c r="D11">
        <f>C11/$H$3</f>
        <v/>
      </c>
      <c r="E11">
        <f>IF($J$3="",IF($B$21&gt;0,B11/$B$21,0),COMBIN($J$3,A11)*$L$3^A11*(1-$L$3)^($J$3-A11))</f>
        <v/>
      </c>
      <c r="F11">
        <f>IF($B$21&gt;0,B11/$B$21,0)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29159357</v>
      </c>
      <c r="C12" t="n">
        <v>2</v>
      </c>
      <c r="D12">
        <f>C12/$H$3</f>
        <v/>
      </c>
      <c r="E12">
        <f>IF($J$3="",IF($B$21&gt;0,B12/$B$21,0),COMBIN($J$3,A12)*$L$3^A12*(1-$L$3)^($J$3-A12))</f>
        <v/>
      </c>
      <c r="F12">
        <f>IF($B$21&gt;0,B12/$B$21,0)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79339882</v>
      </c>
      <c r="C13" t="n">
        <v>5</v>
      </c>
      <c r="D13">
        <f>C13/$H$3</f>
        <v/>
      </c>
      <c r="E13">
        <f>IF($J$3="",IF($B$21&gt;0,B13/$B$21,0),COMBIN($J$3,A13)*$L$3^A13*(1-$L$3)^($J$3-A13))</f>
        <v/>
      </c>
      <c r="F13">
        <f>IF($B$21&gt;0,B13/$B$21,0)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158603063</v>
      </c>
      <c r="C14" t="n">
        <v>11</v>
      </c>
      <c r="D14">
        <f>C14/$H$3</f>
        <v/>
      </c>
      <c r="E14">
        <f>IF($J$3="",IF($B$21&gt;0,B14/$B$21,0),COMBIN($J$3,A14)*$L$3^A14*(1-$L$3)^($J$3-A14))</f>
        <v/>
      </c>
      <c r="F14">
        <f>IF($B$21&gt;0,B14/$B$21,0)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231184333</v>
      </c>
      <c r="C15" t="n">
        <v>28</v>
      </c>
      <c r="D15">
        <f>C15/$H$3</f>
        <v/>
      </c>
      <c r="E15">
        <f>IF($J$3="",IF($B$21&gt;0,B15/$B$21,0),COMBIN($J$3,A15)*$L$3^A15*(1-$L$3)^($J$3-A15))</f>
        <v/>
      </c>
      <c r="F15">
        <f>IF($B$21&gt;0,B15/$B$21,0)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239630830</v>
      </c>
      <c r="C16" t="n">
        <v>68</v>
      </c>
      <c r="D16">
        <f>C16/$H$3</f>
        <v/>
      </c>
      <c r="E16">
        <f>IF($J$3="",IF($B$21&gt;0,B16/$B$21,0),COMBIN($J$3,A16)*$L$3^A16*(1-$L$3)^($J$3-A16))</f>
        <v/>
      </c>
      <c r="F16">
        <f>IF($B$21&gt;0,B16/$B$21,0)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167660500</v>
      </c>
      <c r="C17" t="n">
        <v>167</v>
      </c>
      <c r="D17">
        <f>C17/$H$3</f>
        <v/>
      </c>
      <c r="E17">
        <f>IF($J$3="",IF($B$21&gt;0,B17/$B$21,0),COMBIN($J$3,A17)*$L$3^A17*(1-$L$3)^($J$3-A17))</f>
        <v/>
      </c>
      <c r="F17">
        <f>IF($B$21&gt;0,B17/$B$21,0)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71094316</v>
      </c>
      <c r="C18" t="n">
        <v>409</v>
      </c>
      <c r="D18">
        <f>C18/$H$3</f>
        <v/>
      </c>
      <c r="E18">
        <f>IF($J$3="",IF($B$21&gt;0,B18/$B$21,0),COMBIN($J$3,A18)*$L$3^A18*(1-$L$3)^($J$3-A18))</f>
        <v/>
      </c>
      <c r="F18">
        <f>IF($B$21&gt;0,B18/$B$21,0)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14016764</v>
      </c>
      <c r="C19" t="n">
        <v>1000</v>
      </c>
      <c r="D19">
        <f>C19/$H$3</f>
        <v/>
      </c>
      <c r="E19">
        <f>IF($J$3="",IF($B$21&gt;0,B19/$B$21,0),COMBIN($J$3,A19)*$L$3^A19*(1-$L$3)^($J$3-A19))</f>
        <v/>
      </c>
      <c r="F19">
        <f>IF($B$21&gt;0,B19/$B$21,0)</f>
        <v/>
      </c>
      <c r="G19">
        <f>E19-F19</f>
        <v/>
      </c>
      <c r="H19">
        <f>D19*E19</f>
        <v/>
      </c>
      <c r="I19">
        <f>I18+E19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MAX(ABS(G7:G19))</f>
        <v/>
      </c>
      <c r="H21">
        <f>SUM(H7:H19)</f>
        <v/>
      </c>
      <c r="I21">
        <f>IF($B$3&gt;0,H21/$B$3,0)</f>
        <v/>
      </c>
      <c r="J21">
        <f>IF($D$3="","N/A",ABS(I21-$D$3)&lt;=$F$3)</f>
        <v/>
      </c>
    </row>
    <row r="22">
      <c r="A22" t="inlineStr">
        <is>
          <t>rtp_drift</t>
        </is>
      </c>
      <c r="B22">
        <f>IF($D$3="","",I21-$D$3)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normal_low_13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13</v>
      </c>
      <c r="K3" t="inlineStr">
        <is>
          <t>p_right</t>
        </is>
      </c>
      <c r="L3" t="n">
        <v>0.75831917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10</v>
      </c>
      <c r="C7" t="n">
        <v>0</v>
      </c>
      <c r="D7">
        <f>C7/$H$3</f>
        <v/>
      </c>
      <c r="E7">
        <f>IF($J$3="",IF($B$22&gt;0,B7/$B$22,0),COMBIN($J$3,A7)*$L$3^A7*(1-$L$3)^($J$3-A7))</f>
        <v/>
      </c>
      <c r="F7">
        <f>IF($B$22&gt;0,B7/$B$22,0)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391</v>
      </c>
      <c r="C8" t="n">
        <v>0</v>
      </c>
      <c r="D8">
        <f>C8/$H$3</f>
        <v/>
      </c>
      <c r="E8">
        <f>IF($J$3="",IF($B$22&gt;0,B8/$B$22,0),COMBIN($J$3,A8)*$L$3^A8*(1-$L$3)^($J$3-A8))</f>
        <v/>
      </c>
      <c r="F8">
        <f>IF($B$22&gt;0,B8/$B$22,0)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7370</v>
      </c>
      <c r="C9" t="n">
        <v>0</v>
      </c>
      <c r="D9">
        <f>C9/$H$3</f>
        <v/>
      </c>
      <c r="E9">
        <f>IF($J$3="",IF($B$22&gt;0,B9/$B$22,0),COMBIN($J$3,A9)*$L$3^A9*(1-$L$3)^($J$3-A9))</f>
        <v/>
      </c>
      <c r="F9">
        <f>IF($B$22&gt;0,B9/$B$22,0)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84790</v>
      </c>
      <c r="C10" t="n">
        <v>0</v>
      </c>
      <c r="D10">
        <f>C10/$H$3</f>
        <v/>
      </c>
      <c r="E10">
        <f>IF($J$3="",IF($B$22&gt;0,B10/$B$22,0),COMBIN($J$3,A10)*$L$3^A10*(1-$L$3)^($J$3-A10))</f>
        <v/>
      </c>
      <c r="F10">
        <f>IF($B$22&gt;0,B10/$B$22,0)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665111</v>
      </c>
      <c r="C11" t="n">
        <v>0</v>
      </c>
      <c r="D11">
        <f>C11/$H$3</f>
        <v/>
      </c>
      <c r="E11">
        <f>IF($J$3="",IF($B$22&gt;0,B11/$B$22,0),COMBIN($J$3,A11)*$L$3^A11*(1-$L$3)^($J$3-A11))</f>
        <v/>
      </c>
      <c r="F11">
        <f>IF($B$22&gt;0,B11/$B$22,0)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3756439</v>
      </c>
      <c r="C12" t="n">
        <v>0</v>
      </c>
      <c r="D12">
        <f>C12/$H$3</f>
        <v/>
      </c>
      <c r="E12">
        <f>IF($J$3="",IF($B$22&gt;0,B12/$B$22,0),COMBIN($J$3,A12)*$L$3^A12*(1-$L$3)^($J$3-A12))</f>
        <v/>
      </c>
      <c r="F12">
        <f>IF($B$22&gt;0,B12/$B$22,0)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15715380</v>
      </c>
      <c r="C13" t="n">
        <v>1</v>
      </c>
      <c r="D13">
        <f>C13/$H$3</f>
        <v/>
      </c>
      <c r="E13">
        <f>IF($J$3="",IF($B$22&gt;0,B13/$B$22,0),COMBIN($J$3,A13)*$L$3^A13*(1-$L$3)^($J$3-A13))</f>
        <v/>
      </c>
      <c r="F13">
        <f>IF($B$22&gt;0,B13/$B$22,0)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49309968</v>
      </c>
      <c r="C14" t="n">
        <v>2</v>
      </c>
      <c r="D14">
        <f>C14/$H$3</f>
        <v/>
      </c>
      <c r="E14">
        <f>IF($J$3="",IF($B$22&gt;0,B14/$B$22,0),COMBIN($J$3,A14)*$L$3^A14*(1-$L$3)^($J$3-A14))</f>
        <v/>
      </c>
      <c r="F14">
        <f>IF($B$22&gt;0,B14/$B$22,0)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116039494</v>
      </c>
      <c r="C15" t="n">
        <v>6</v>
      </c>
      <c r="D15">
        <f>C15/$H$3</f>
        <v/>
      </c>
      <c r="E15">
        <f>IF($J$3="",IF($B$22&gt;0,B15/$B$22,0),COMBIN($J$3,A15)*$L$3^A15*(1-$L$3)^($J$3-A15))</f>
        <v/>
      </c>
      <c r="F15">
        <f>IF($B$22&gt;0,B15/$B$22,0)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202275444</v>
      </c>
      <c r="C16" t="n">
        <v>16</v>
      </c>
      <c r="D16">
        <f>C16/$H$3</f>
        <v/>
      </c>
      <c r="E16">
        <f>IF($J$3="",IF($B$22&gt;0,B16/$B$22,0),COMBIN($J$3,A16)*$L$3^A16*(1-$L$3)^($J$3-A16))</f>
        <v/>
      </c>
      <c r="F16">
        <f>IF($B$22&gt;0,B16/$B$22,0)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253870942</v>
      </c>
      <c r="C17" t="n">
        <v>42</v>
      </c>
      <c r="D17">
        <f>C17/$H$3</f>
        <v/>
      </c>
      <c r="E17">
        <f>IF($J$3="",IF($B$22&gt;0,B17/$B$22,0),COMBIN($J$3,A17)*$L$3^A17*(1-$L$3)^($J$3-A17))</f>
        <v/>
      </c>
      <c r="F17">
        <f>IF($B$22&gt;0,B17/$B$22,0)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217245808</v>
      </c>
      <c r="C18" t="n">
        <v>113</v>
      </c>
      <c r="D18">
        <f>C18/$H$3</f>
        <v/>
      </c>
      <c r="E18">
        <f>IF($J$3="",IF($B$22&gt;0,B18/$B$22,0),COMBIN($J$3,A18)*$L$3^A18*(1-$L$3)^($J$3-A18))</f>
        <v/>
      </c>
      <c r="F18">
        <f>IF($B$22&gt;0,B18/$B$22,0)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113608283</v>
      </c>
      <c r="C19" t="n">
        <v>303</v>
      </c>
      <c r="D19">
        <f>C19/$H$3</f>
        <v/>
      </c>
      <c r="E19">
        <f>IF($J$3="",IF($B$22&gt;0,B19/$B$22,0),COMBIN($J$3,A19)*$L$3^A19*(1-$L$3)^($J$3-A19))</f>
        <v/>
      </c>
      <c r="F19">
        <f>IF($B$22&gt;0,B19/$B$22,0)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27641444</v>
      </c>
      <c r="C20" t="n">
        <v>810</v>
      </c>
      <c r="D20">
        <f>C20/$H$3</f>
        <v/>
      </c>
      <c r="E20">
        <f>IF($J$3="",IF($B$22&gt;0,B20/$B$22,0),COMBIN($J$3,A20)*$L$3^A20*(1-$L$3)^($J$3-A20))</f>
        <v/>
      </c>
      <c r="F20">
        <f>IF($B$22&gt;0,B20/$B$22,0)</f>
        <v/>
      </c>
      <c r="G20">
        <f>E20-F20</f>
        <v/>
      </c>
      <c r="H20">
        <f>D20*E20</f>
        <v/>
      </c>
      <c r="I20">
        <f>I19+E20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MAX(ABS(G7:G20))</f>
        <v/>
      </c>
      <c r="H22">
        <f>SUM(H7:H20)</f>
        <v/>
      </c>
      <c r="I22">
        <f>IF($B$3&gt;0,H22/$B$3,0)</f>
        <v/>
      </c>
      <c r="J22">
        <f>IF($D$3="","N/A",ABS(I22-$D$3)&lt;=$F$3)</f>
        <v/>
      </c>
    </row>
    <row r="23">
      <c r="A23" t="inlineStr">
        <is>
          <t>rtp_drift</t>
        </is>
      </c>
      <c r="B23">
        <f>IF($D$3="","",I22-$D$3)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normal_low_14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14</v>
      </c>
      <c r="K3" t="inlineStr">
        <is>
          <t>p_right</t>
        </is>
      </c>
      <c r="L3" t="n">
        <v>0.79631213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0</v>
      </c>
      <c r="C7" t="n">
        <v>0</v>
      </c>
      <c r="D7">
        <f>C7/$H$3</f>
        <v/>
      </c>
      <c r="E7">
        <f>IF($J$3="",IF($B$23&gt;0,B7/$B$23,0),COMBIN($J$3,A7)*$L$3^A7*(1-$L$3)^($J$3-A7))</f>
        <v/>
      </c>
      <c r="F7">
        <f>IF($B$23&gt;0,B7/$B$23,0)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12</v>
      </c>
      <c r="C8" t="n">
        <v>0</v>
      </c>
      <c r="D8">
        <f>C8/$H$3</f>
        <v/>
      </c>
      <c r="E8">
        <f>IF($J$3="",IF($B$23&gt;0,B8/$B$23,0),COMBIN($J$3,A8)*$L$3^A8*(1-$L$3)^($J$3-A8))</f>
        <v/>
      </c>
      <c r="F8">
        <f>IF($B$23&gt;0,B8/$B$23,0)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294</v>
      </c>
      <c r="C9" t="n">
        <v>0</v>
      </c>
      <c r="D9">
        <f>C9/$H$3</f>
        <v/>
      </c>
      <c r="E9">
        <f>IF($J$3="",IF($B$23&gt;0,B9/$B$23,0),COMBIN($J$3,A9)*$L$3^A9*(1-$L$3)^($J$3-A9))</f>
        <v/>
      </c>
      <c r="F9">
        <f>IF($B$23&gt;0,B9/$B$23,0)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4602</v>
      </c>
      <c r="C10" t="n">
        <v>0</v>
      </c>
      <c r="D10">
        <f>C10/$H$3</f>
        <v/>
      </c>
      <c r="E10">
        <f>IF($J$3="",IF($B$23&gt;0,B10/$B$23,0),COMBIN($J$3,A10)*$L$3^A10*(1-$L$3)^($J$3-A10))</f>
        <v/>
      </c>
      <c r="F10">
        <f>IF($B$23&gt;0,B10/$B$23,0)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49479</v>
      </c>
      <c r="C11" t="n">
        <v>0</v>
      </c>
      <c r="D11">
        <f>C11/$H$3</f>
        <v/>
      </c>
      <c r="E11">
        <f>IF($J$3="",IF($B$23&gt;0,B11/$B$23,0),COMBIN($J$3,A11)*$L$3^A11*(1-$L$3)^($J$3-A11))</f>
        <v/>
      </c>
      <c r="F11">
        <f>IF($B$23&gt;0,B11/$B$23,0)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386872</v>
      </c>
      <c r="C12" t="n">
        <v>0</v>
      </c>
      <c r="D12">
        <f>C12/$H$3</f>
        <v/>
      </c>
      <c r="E12">
        <f>IF($J$3="",IF($B$23&gt;0,B12/$B$23,0),COMBIN($J$3,A12)*$L$3^A12*(1-$L$3)^($J$3-A12))</f>
        <v/>
      </c>
      <c r="F12">
        <f>IF($B$23&gt;0,B12/$B$23,0)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2268698</v>
      </c>
      <c r="C13" t="n">
        <v>0</v>
      </c>
      <c r="D13">
        <f>C13/$H$3</f>
        <v/>
      </c>
      <c r="E13">
        <f>IF($J$3="",IF($B$23&gt;0,B13/$B$23,0),COMBIN($J$3,A13)*$L$3^A13*(1-$L$3)^($J$3-A13))</f>
        <v/>
      </c>
      <c r="F13">
        <f>IF($B$23&gt;0,B13/$B$23,0)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10136471</v>
      </c>
      <c r="C14" t="n">
        <v>0</v>
      </c>
      <c r="D14">
        <f>C14/$H$3</f>
        <v/>
      </c>
      <c r="E14">
        <f>IF($J$3="",IF($B$23&gt;0,B14/$B$23,0),COMBIN($J$3,A14)*$L$3^A14*(1-$L$3)^($J$3-A14))</f>
        <v/>
      </c>
      <c r="F14">
        <f>IF($B$23&gt;0,B14/$B$23,0)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34674721</v>
      </c>
      <c r="C15" t="n">
        <v>1</v>
      </c>
      <c r="D15">
        <f>C15/$H$3</f>
        <v/>
      </c>
      <c r="E15">
        <f>IF($J$3="",IF($B$23&gt;0,B15/$B$23,0),COMBIN($J$3,A15)*$L$3^A15*(1-$L$3)^($J$3-A15))</f>
        <v/>
      </c>
      <c r="F15">
        <f>IF($B$23&gt;0,B15/$B$23,0)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90373247</v>
      </c>
      <c r="C16" t="n">
        <v>4</v>
      </c>
      <c r="D16">
        <f>C16/$H$3</f>
        <v/>
      </c>
      <c r="E16">
        <f>IF($J$3="",IF($B$23&gt;0,B16/$B$23,0),COMBIN($J$3,A16)*$L$3^A16*(1-$L$3)^($J$3-A16))</f>
        <v/>
      </c>
      <c r="F16">
        <f>IF($B$23&gt;0,B16/$B$23,0)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176655863</v>
      </c>
      <c r="C17" t="n">
        <v>10</v>
      </c>
      <c r="D17">
        <f>C17/$H$3</f>
        <v/>
      </c>
      <c r="E17">
        <f>IF($J$3="",IF($B$23&gt;0,B17/$B$23,0),COMBIN($J$3,A17)*$L$3^A17*(1-$L$3)^($J$3-A17))</f>
        <v/>
      </c>
      <c r="F17">
        <f>IF($B$23&gt;0,B17/$B$23,0)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251138634</v>
      </c>
      <c r="C18" t="n">
        <v>29</v>
      </c>
      <c r="D18">
        <f>C18/$H$3</f>
        <v/>
      </c>
      <c r="E18">
        <f>IF($J$3="",IF($B$23&gt;0,B18/$B$23,0),COMBIN($J$3,A18)*$L$3^A18*(1-$L$3)^($J$3-A18))</f>
        <v/>
      </c>
      <c r="F18">
        <f>IF($B$23&gt;0,B18/$B$23,0)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245454897</v>
      </c>
      <c r="C19" t="n">
        <v>85</v>
      </c>
      <c r="D19">
        <f>C19/$H$3</f>
        <v/>
      </c>
      <c r="E19">
        <f>IF($J$3="",IF($B$23&gt;0,B19/$B$23,0),COMBIN($J$3,A19)*$L$3^A19*(1-$L$3)^($J$3-A19))</f>
        <v/>
      </c>
      <c r="F19">
        <f>IF($B$23&gt;0,B19/$B$23,0)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147630643</v>
      </c>
      <c r="C20" t="n">
        <v>246</v>
      </c>
      <c r="D20">
        <f>C20/$H$3</f>
        <v/>
      </c>
      <c r="E20">
        <f>IF($J$3="",IF($B$23&gt;0,B20/$B$23,0),COMBIN($J$3,A20)*$L$3^A20*(1-$L$3)^($J$3-A20))</f>
        <v/>
      </c>
      <c r="F20">
        <f>IF($B$23&gt;0,B20/$B$23,0)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41475256</v>
      </c>
      <c r="C21" t="n">
        <v>710</v>
      </c>
      <c r="D21">
        <f>C21/$H$3</f>
        <v/>
      </c>
      <c r="E21">
        <f>IF($J$3="",IF($B$23&gt;0,B21/$B$23,0),COMBIN($J$3,A21)*$L$3^A21*(1-$L$3)^($J$3-A21))</f>
        <v/>
      </c>
      <c r="F21">
        <f>IF($B$23&gt;0,B21/$B$23,0)</f>
        <v/>
      </c>
      <c r="G21">
        <f>E21-F21</f>
        <v/>
      </c>
      <c r="H21">
        <f>D21*E21</f>
        <v/>
      </c>
      <c r="I21">
        <f>I20+E21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MAX(ABS(G7:G21))</f>
        <v/>
      </c>
      <c r="H23">
        <f>SUM(H7:H21)</f>
        <v/>
      </c>
      <c r="I23">
        <f>IF($B$3&gt;0,H23/$B$3,0)</f>
        <v/>
      </c>
      <c r="J23">
        <f>IF($D$3="","N/A",ABS(I23-$D$3)&lt;=$F$3)</f>
        <v/>
      </c>
    </row>
    <row r="24">
      <c r="A24" t="inlineStr">
        <is>
          <t>rtp_drift</t>
        </is>
      </c>
      <c r="B24">
        <f>IF($D$3="","",I23-$D$3)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normal_low_15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15</v>
      </c>
      <c r="K3" t="inlineStr">
        <is>
          <t>p_right</t>
        </is>
      </c>
      <c r="L3" t="n">
        <v>0.67975952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38</v>
      </c>
      <c r="C7" t="n">
        <v>0</v>
      </c>
      <c r="D7">
        <f>C7/$H$3</f>
        <v/>
      </c>
      <c r="E7">
        <f>IF($J$3="",IF($B$24&gt;0,B7/$B$24,0),COMBIN($J$3,A7)*$L$3^A7*(1-$L$3)^($J$3-A7))</f>
        <v/>
      </c>
      <c r="F7">
        <f>IF($B$24&gt;0,B7/$B$24,0)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1217</v>
      </c>
      <c r="C8" t="n">
        <v>0</v>
      </c>
      <c r="D8">
        <f>C8/$H$3</f>
        <v/>
      </c>
      <c r="E8">
        <f>IF($J$3="",IF($B$24&gt;0,B8/$B$24,0),COMBIN($J$3,A8)*$L$3^A8*(1-$L$3)^($J$3-A8))</f>
        <v/>
      </c>
      <c r="F8">
        <f>IF($B$24&gt;0,B8/$B$24,0)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18076</v>
      </c>
      <c r="C9" t="n">
        <v>0</v>
      </c>
      <c r="D9">
        <f>C9/$H$3</f>
        <v/>
      </c>
      <c r="E9">
        <f>IF($J$3="",IF($B$24&gt;0,B9/$B$24,0),COMBIN($J$3,A9)*$L$3^A9*(1-$L$3)^($J$3-A9))</f>
        <v/>
      </c>
      <c r="F9">
        <f>IF($B$24&gt;0,B9/$B$24,0)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166262</v>
      </c>
      <c r="C10" t="n">
        <v>0</v>
      </c>
      <c r="D10">
        <f>C10/$H$3</f>
        <v/>
      </c>
      <c r="E10">
        <f>IF($J$3="",IF($B$24&gt;0,B10/$B$24,0),COMBIN($J$3,A10)*$L$3^A10*(1-$L$3)^($J$3-A10))</f>
        <v/>
      </c>
      <c r="F10">
        <f>IF($B$24&gt;0,B10/$B$24,0)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1058748</v>
      </c>
      <c r="C11" t="n">
        <v>0</v>
      </c>
      <c r="D11">
        <f>C11/$H$3</f>
        <v/>
      </c>
      <c r="E11">
        <f>IF($J$3="",IF($B$24&gt;0,B11/$B$24,0),COMBIN($J$3,A11)*$L$3^A11*(1-$L$3)^($J$3-A11))</f>
        <v/>
      </c>
      <c r="F11">
        <f>IF($B$24&gt;0,B11/$B$24,0)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4944179</v>
      </c>
      <c r="C12" t="n">
        <v>1</v>
      </c>
      <c r="D12">
        <f>C12/$H$3</f>
        <v/>
      </c>
      <c r="E12">
        <f>IF($J$3="",IF($B$24&gt;0,B12/$B$24,0),COMBIN($J$3,A12)*$L$3^A12*(1-$L$3)^($J$3-A12))</f>
        <v/>
      </c>
      <c r="F12">
        <f>IF($B$24&gt;0,B12/$B$24,0)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17491295</v>
      </c>
      <c r="C13" t="n">
        <v>2</v>
      </c>
      <c r="D13">
        <f>C13/$H$3</f>
        <v/>
      </c>
      <c r="E13">
        <f>IF($J$3="",IF($B$24&gt;0,B13/$B$24,0),COMBIN($J$3,A13)*$L$3^A13*(1-$L$3)^($J$3-A13))</f>
        <v/>
      </c>
      <c r="F13">
        <f>IF($B$24&gt;0,B13/$B$24,0)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47735942</v>
      </c>
      <c r="C14" t="n">
        <v>4</v>
      </c>
      <c r="D14">
        <f>C14/$H$3</f>
        <v/>
      </c>
      <c r="E14">
        <f>IF($J$3="",IF($B$24&gt;0,B14/$B$24,0),COMBIN($J$3,A14)*$L$3^A14*(1-$L$3)^($J$3-A14))</f>
        <v/>
      </c>
      <c r="F14">
        <f>IF($B$24&gt;0,B14/$B$24,0)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101326854</v>
      </c>
      <c r="C15" t="n">
        <v>8</v>
      </c>
      <c r="D15">
        <f>C15/$H$3</f>
        <v/>
      </c>
      <c r="E15">
        <f>IF($J$3="",IF($B$24&gt;0,B15/$B$24,0),COMBIN($J$3,A15)*$L$3^A15*(1-$L$3)^($J$3-A15))</f>
        <v/>
      </c>
      <c r="F15">
        <f>IF($B$24&gt;0,B15/$B$24,0)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167285828</v>
      </c>
      <c r="C16" t="n">
        <v>18</v>
      </c>
      <c r="D16">
        <f>C16/$H$3</f>
        <v/>
      </c>
      <c r="E16">
        <f>IF($J$3="",IF($B$24&gt;0,B16/$B$24,0),COMBIN($J$3,A16)*$L$3^A16*(1-$L$3)^($J$3-A16))</f>
        <v/>
      </c>
      <c r="F16">
        <f>IF($B$24&gt;0,B16/$B$24,0)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213053886</v>
      </c>
      <c r="C17" t="n">
        <v>37</v>
      </c>
      <c r="D17">
        <f>C17/$H$3</f>
        <v/>
      </c>
      <c r="E17">
        <f>IF($J$3="",IF($B$24&gt;0,B17/$B$24,0),COMBIN($J$3,A17)*$L$3^A17*(1-$L$3)^($J$3-A17))</f>
        <v/>
      </c>
      <c r="F17">
        <f>IF($B$24&gt;0,B17/$B$24,0)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205563423</v>
      </c>
      <c r="C18" t="n">
        <v>78</v>
      </c>
      <c r="D18">
        <f>C18/$H$3</f>
        <v/>
      </c>
      <c r="E18">
        <f>IF($J$3="",IF($B$24&gt;0,B18/$B$24,0),COMBIN($J$3,A18)*$L$3^A18*(1-$L$3)^($J$3-A18))</f>
        <v/>
      </c>
      <c r="F18">
        <f>IF($B$24&gt;0,B18/$B$24,0)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145446624</v>
      </c>
      <c r="C19" t="n">
        <v>163</v>
      </c>
      <c r="D19">
        <f>C19/$H$3</f>
        <v/>
      </c>
      <c r="E19">
        <f>IF($J$3="",IF($B$24&gt;0,B19/$B$24,0),COMBIN($J$3,A19)*$L$3^A19*(1-$L$3)^($J$3-A19))</f>
        <v/>
      </c>
      <c r="F19">
        <f>IF($B$24&gt;0,B19/$B$24,0)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71246020</v>
      </c>
      <c r="C20" t="n">
        <v>342</v>
      </c>
      <c r="D20">
        <f>C20/$H$3</f>
        <v/>
      </c>
      <c r="E20">
        <f>IF($J$3="",IF($B$24&gt;0,B20/$B$24,0),COMBIN($J$3,A20)*$L$3^A20*(1-$L$3)^($J$3-A20))</f>
        <v/>
      </c>
      <c r="F20">
        <f>IF($B$24&gt;0,B20/$B$24,0)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21604371</v>
      </c>
      <c r="C21" t="n">
        <v>716</v>
      </c>
      <c r="D21">
        <f>C21/$H$3</f>
        <v/>
      </c>
      <c r="E21">
        <f>IF($J$3="",IF($B$24&gt;0,B21/$B$24,0),COMBIN($J$3,A21)*$L$3^A21*(1-$L$3)^($J$3-A21))</f>
        <v/>
      </c>
      <c r="F21">
        <f>IF($B$24&gt;0,B21/$B$24,0)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3022980</v>
      </c>
      <c r="C22" t="n">
        <v>1500</v>
      </c>
      <c r="D22">
        <f>C22/$H$3</f>
        <v/>
      </c>
      <c r="E22">
        <f>IF($J$3="",IF($B$24&gt;0,B22/$B$24,0),COMBIN($J$3,A22)*$L$3^A22*(1-$L$3)^($J$3-A22))</f>
        <v/>
      </c>
      <c r="F22">
        <f>IF($B$24&gt;0,B22/$B$24,0)</f>
        <v/>
      </c>
      <c r="G22">
        <f>E22-F22</f>
        <v/>
      </c>
      <c r="H22">
        <f>D22*E22</f>
        <v/>
      </c>
      <c r="I22">
        <f>I21+E22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MAX(ABS(G7:G22))</f>
        <v/>
      </c>
      <c r="H24">
        <f>SUM(H7:H22)</f>
        <v/>
      </c>
      <c r="I24">
        <f>IF($B$3&gt;0,H24/$B$3,0)</f>
        <v/>
      </c>
      <c r="J24">
        <f>IF($D$3="","N/A",ABS(I24-$D$3)&lt;=$F$3)</f>
        <v/>
      </c>
    </row>
    <row r="25">
      <c r="A25" t="inlineStr">
        <is>
          <t>rtp_drift</t>
        </is>
      </c>
      <c r="B25">
        <f>IF($D$3="","",I24-$D$3)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normal_low_16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16</v>
      </c>
      <c r="K3" t="inlineStr">
        <is>
          <t>p_right</t>
        </is>
      </c>
      <c r="L3" t="n">
        <v>0.68477751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10</v>
      </c>
      <c r="C7" t="n">
        <v>0</v>
      </c>
      <c r="D7">
        <f>C7/$H$3</f>
        <v/>
      </c>
      <c r="E7">
        <f>IF($J$3="",IF($B$25&gt;0,B7/$B$25,0),COMBIN($J$3,A7)*$L$3^A7*(1-$L$3)^($J$3-A7))</f>
        <v/>
      </c>
      <c r="F7">
        <f>IF($B$25&gt;0,B7/$B$25,0)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330</v>
      </c>
      <c r="C8" t="n">
        <v>0</v>
      </c>
      <c r="D8">
        <f>C8/$H$3</f>
        <v/>
      </c>
      <c r="E8">
        <f>IF($J$3="",IF($B$25&gt;0,B8/$B$25,0),COMBIN($J$3,A8)*$L$3^A8*(1-$L$3)^($J$3-A8))</f>
        <v/>
      </c>
      <c r="F8">
        <f>IF($B$25&gt;0,B8/$B$25,0)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5382</v>
      </c>
      <c r="C9" t="n">
        <v>0</v>
      </c>
      <c r="D9">
        <f>C9/$H$3</f>
        <v/>
      </c>
      <c r="E9">
        <f>IF($J$3="",IF($B$25&gt;0,B9/$B$25,0),COMBIN($J$3,A9)*$L$3^A9*(1-$L$3)^($J$3-A9))</f>
        <v/>
      </c>
      <c r="F9">
        <f>IF($B$25&gt;0,B9/$B$25,0)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54558</v>
      </c>
      <c r="C10" t="n">
        <v>0</v>
      </c>
      <c r="D10">
        <f>C10/$H$3</f>
        <v/>
      </c>
      <c r="E10">
        <f>IF($J$3="",IF($B$25&gt;0,B10/$B$25,0),COMBIN($J$3,A10)*$L$3^A10*(1-$L$3)^($J$3-A10))</f>
        <v/>
      </c>
      <c r="F10">
        <f>IF($B$25&gt;0,B10/$B$25,0)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385191</v>
      </c>
      <c r="C11" t="n">
        <v>0</v>
      </c>
      <c r="D11">
        <f>C11/$H$3</f>
        <v/>
      </c>
      <c r="E11">
        <f>IF($J$3="",IF($B$25&gt;0,B11/$B$25,0),COMBIN($J$3,A11)*$L$3^A11*(1-$L$3)^($J$3-A11))</f>
        <v/>
      </c>
      <c r="F11">
        <f>IF($B$25&gt;0,B11/$B$25,0)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2008257</v>
      </c>
      <c r="C12" t="n">
        <v>1</v>
      </c>
      <c r="D12">
        <f>C12/$H$3</f>
        <v/>
      </c>
      <c r="E12">
        <f>IF($J$3="",IF($B$25&gt;0,B12/$B$25,0),COMBIN($J$3,A12)*$L$3^A12*(1-$L$3)^($J$3-A12))</f>
        <v/>
      </c>
      <c r="F12">
        <f>IF($B$25&gt;0,B12/$B$25,0)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7998213</v>
      </c>
      <c r="C13" t="n">
        <v>1</v>
      </c>
      <c r="D13">
        <f>C13/$H$3</f>
        <v/>
      </c>
      <c r="E13">
        <f>IF($J$3="",IF($B$25&gt;0,B13/$B$25,0),COMBIN($J$3,A13)*$L$3^A13*(1-$L$3)^($J$3-A13))</f>
        <v/>
      </c>
      <c r="F13">
        <f>IF($B$25&gt;0,B13/$B$25,0)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24821454</v>
      </c>
      <c r="C14" t="n">
        <v>3</v>
      </c>
      <c r="D14">
        <f>C14/$H$3</f>
        <v/>
      </c>
      <c r="E14">
        <f>IF($J$3="",IF($B$25&gt;0,B14/$B$25,0),COMBIN($J$3,A14)*$L$3^A14*(1-$L$3)^($J$3-A14))</f>
        <v/>
      </c>
      <c r="F14">
        <f>IF($B$25&gt;0,B14/$B$25,0)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60661344</v>
      </c>
      <c r="C15" t="n">
        <v>5</v>
      </c>
      <c r="D15">
        <f>C15/$H$3</f>
        <v/>
      </c>
      <c r="E15">
        <f>IF($J$3="",IF($B$25&gt;0,B15/$B$25,0),COMBIN($J$3,A15)*$L$3^A15*(1-$L$3)^($J$3-A15))</f>
        <v/>
      </c>
      <c r="F15">
        <f>IF($B$25&gt;0,B15/$B$25,0)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117136379</v>
      </c>
      <c r="C16" t="n">
        <v>11</v>
      </c>
      <c r="D16">
        <f>C16/$H$3</f>
        <v/>
      </c>
      <c r="E16">
        <f>IF($J$3="",IF($B$25&gt;0,B16/$B$25,0),COMBIN($J$3,A16)*$L$3^A16*(1-$L$3)^($J$3-A16))</f>
        <v/>
      </c>
      <c r="F16">
        <f>IF($B$25&gt;0,B16/$B$25,0)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178123871</v>
      </c>
      <c r="C17" t="n">
        <v>22</v>
      </c>
      <c r="D17">
        <f>C17/$H$3</f>
        <v/>
      </c>
      <c r="E17">
        <f>IF($J$3="",IF($B$25&gt;0,B17/$B$25,0),COMBIN($J$3,A17)*$L$3^A17*(1-$L$3)^($J$3-A17))</f>
        <v/>
      </c>
      <c r="F17">
        <f>IF($B$25&gt;0,B17/$B$25,0)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211063424</v>
      </c>
      <c r="C18" t="n">
        <v>45</v>
      </c>
      <c r="D18">
        <f>C18/$H$3</f>
        <v/>
      </c>
      <c r="E18">
        <f>IF($J$3="",IF($B$25&gt;0,B18/$B$25,0),COMBIN($J$3,A18)*$L$3^A18*(1-$L$3)^($J$3-A18))</f>
        <v/>
      </c>
      <c r="F18">
        <f>IF($B$25&gt;0,B18/$B$25,0)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191044275</v>
      </c>
      <c r="C19" t="n">
        <v>91</v>
      </c>
      <c r="D19">
        <f>C19/$H$3</f>
        <v/>
      </c>
      <c r="E19">
        <f>IF($J$3="",IF($B$25&gt;0,B19/$B$25,0),COMBIN($J$3,A19)*$L$3^A19*(1-$L$3)^($J$3-A19))</f>
        <v/>
      </c>
      <c r="F19">
        <f>IF($B$25&gt;0,B19/$B$25,0)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127697665</v>
      </c>
      <c r="C20" t="n">
        <v>187</v>
      </c>
      <c r="D20">
        <f>C20/$H$3</f>
        <v/>
      </c>
      <c r="E20">
        <f>IF($J$3="",IF($B$25&gt;0,B20/$B$25,0),COMBIN($J$3,A20)*$L$3^A20*(1-$L$3)^($J$3-A20))</f>
        <v/>
      </c>
      <c r="F20">
        <f>IF($B$25&gt;0,B20/$B$25,0)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59444060</v>
      </c>
      <c r="C21" t="n">
        <v>382</v>
      </c>
      <c r="D21">
        <f>C21/$H$3</f>
        <v/>
      </c>
      <c r="E21">
        <f>IF($J$3="",IF($B$25&gt;0,B21/$B$25,0),COMBIN($J$3,A21)*$L$3^A21*(1-$L$3)^($J$3-A21))</f>
        <v/>
      </c>
      <c r="F21">
        <f>IF($B$25&gt;0,B21/$B$25,0)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17217873</v>
      </c>
      <c r="C22" t="n">
        <v>782</v>
      </c>
      <c r="D22">
        <f>C22/$H$3</f>
        <v/>
      </c>
      <c r="E22">
        <f>IF($J$3="",IF($B$25&gt;0,B22/$B$25,0),COMBIN($J$3,A22)*$L$3^A22*(1-$L$3)^($J$3-A22))</f>
        <v/>
      </c>
      <c r="F22">
        <f>IF($B$25&gt;0,B22/$B$25,0)</f>
        <v/>
      </c>
      <c r="G22">
        <f>E22-F22</f>
        <v/>
      </c>
      <c r="H22">
        <f>D22*E22</f>
        <v/>
      </c>
      <c r="I22">
        <f>I21+E22</f>
        <v/>
      </c>
    </row>
    <row r="23">
      <c r="A23" t="n">
        <v>16</v>
      </c>
      <c r="B23" t="n">
        <v>2191632</v>
      </c>
      <c r="C23" t="n">
        <v>1600</v>
      </c>
      <c r="D23">
        <f>C23/$H$3</f>
        <v/>
      </c>
      <c r="E23">
        <f>IF($J$3="",IF($B$25&gt;0,B23/$B$25,0),COMBIN($J$3,A23)*$L$3^A23*(1-$L$3)^($J$3-A23))</f>
        <v/>
      </c>
      <c r="F23">
        <f>IF($B$25&gt;0,B23/$B$25,0)</f>
        <v/>
      </c>
      <c r="G23">
        <f>E23-F23</f>
        <v/>
      </c>
      <c r="H23">
        <f>D23*E23</f>
        <v/>
      </c>
      <c r="I23">
        <f>I22+E23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MAX(ABS(G7:G23))</f>
        <v/>
      </c>
      <c r="H25">
        <f>SUM(H7:H23)</f>
        <v/>
      </c>
      <c r="I25">
        <f>IF($B$3&gt;0,H25/$B$3,0)</f>
        <v/>
      </c>
      <c r="J25">
        <f>IF($D$3="","N/A",ABS(I25-$D$3)&lt;=$F$3)</f>
        <v/>
      </c>
    </row>
    <row r="26">
      <c r="A26" t="inlineStr">
        <is>
          <t>rtp_drift</t>
        </is>
      </c>
      <c r="B26">
        <f>IF($D$3="","",I25-$D$3)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normal_low_8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8</v>
      </c>
      <c r="K3" t="inlineStr">
        <is>
          <t>p_right</t>
        </is>
      </c>
      <c r="L3" t="n">
        <v>0.73307423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25771</v>
      </c>
      <c r="C7" t="n">
        <v>0</v>
      </c>
      <c r="D7">
        <f>C7/$H$3</f>
        <v/>
      </c>
      <c r="E7">
        <f>IF($J$3="",IF($B$17&gt;0,B7/$B$17,0),COMBIN($J$3,A7)*$L$3^A7*(1-$L$3)^($J$3-A7))</f>
        <v/>
      </c>
      <c r="F7">
        <f>IF($B$17&gt;0,B7/$B$17,0)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566202</v>
      </c>
      <c r="C8" t="n">
        <v>0</v>
      </c>
      <c r="D8">
        <f>C8/$H$3</f>
        <v/>
      </c>
      <c r="E8">
        <f>IF($J$3="",IF($B$17&gt;0,B8/$B$17,0),COMBIN($J$3,A8)*$L$3^A8*(1-$L$3)^($J$3-A8))</f>
        <v/>
      </c>
      <c r="F8">
        <f>IF($B$17&gt;0,B8/$B$17,0)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5442482</v>
      </c>
      <c r="C9" t="n">
        <v>0</v>
      </c>
      <c r="D9">
        <f>C9/$H$3</f>
        <v/>
      </c>
      <c r="E9">
        <f>IF($J$3="",IF($B$17&gt;0,B9/$B$17,0),COMBIN($J$3,A9)*$L$3^A9*(1-$L$3)^($J$3-A9))</f>
        <v/>
      </c>
      <c r="F9">
        <f>IF($B$17&gt;0,B9/$B$17,0)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29894026</v>
      </c>
      <c r="C10" t="n">
        <v>1</v>
      </c>
      <c r="D10">
        <f>C10/$H$3</f>
        <v/>
      </c>
      <c r="E10">
        <f>IF($J$3="",IF($B$17&gt;0,B10/$B$17,0),COMBIN($J$3,A10)*$L$3^A10*(1-$L$3)^($J$3-A10))</f>
        <v/>
      </c>
      <c r="F10">
        <f>IF($B$17&gt;0,B10/$B$17,0)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102624692</v>
      </c>
      <c r="C11" t="n">
        <v>3</v>
      </c>
      <c r="D11">
        <f>C11/$H$3</f>
        <v/>
      </c>
      <c r="E11">
        <f>IF($J$3="",IF($B$17&gt;0,B11/$B$17,0),COMBIN($J$3,A11)*$L$3^A11*(1-$L$3)^($J$3-A11))</f>
        <v/>
      </c>
      <c r="F11">
        <f>IF($B$17&gt;0,B11/$B$17,0)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225475472</v>
      </c>
      <c r="C12" t="n">
        <v>10</v>
      </c>
      <c r="D12">
        <f>C12/$H$3</f>
        <v/>
      </c>
      <c r="E12">
        <f>IF($J$3="",IF($B$17&gt;0,B12/$B$17,0),COMBIN($J$3,A12)*$L$3^A12*(1-$L$3)^($J$3-A12))</f>
        <v/>
      </c>
      <c r="F12">
        <f>IF($B$17&gt;0,B12/$B$17,0)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309618396</v>
      </c>
      <c r="C13" t="n">
        <v>38</v>
      </c>
      <c r="D13">
        <f>C13/$H$3</f>
        <v/>
      </c>
      <c r="E13">
        <f>IF($J$3="",IF($B$17&gt;0,B13/$B$17,0),COMBIN($J$3,A13)*$L$3^A13*(1-$L$3)^($J$3-A13))</f>
        <v/>
      </c>
      <c r="F13">
        <f>IF($B$17&gt;0,B13/$B$17,0)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242949585</v>
      </c>
      <c r="C14" t="n">
        <v>145</v>
      </c>
      <c r="D14">
        <f>C14/$H$3</f>
        <v/>
      </c>
      <c r="E14">
        <f>IF($J$3="",IF($B$17&gt;0,B14/$B$17,0),COMBIN($J$3,A14)*$L$3^A14*(1-$L$3)^($J$3-A14))</f>
        <v/>
      </c>
      <c r="F14">
        <f>IF($B$17&gt;0,B14/$B$17,0)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82882626</v>
      </c>
      <c r="C15" t="n">
        <v>560</v>
      </c>
      <c r="D15">
        <f>C15/$H$3</f>
        <v/>
      </c>
      <c r="E15">
        <f>IF($J$3="",IF($B$17&gt;0,B15/$B$17,0),COMBIN($J$3,A15)*$L$3^A15*(1-$L$3)^($J$3-A15))</f>
        <v/>
      </c>
      <c r="F15">
        <f>IF($B$17&gt;0,B15/$B$17,0)</f>
        <v/>
      </c>
      <c r="G15">
        <f>E15-F15</f>
        <v/>
      </c>
      <c r="H15">
        <f>D15*E15</f>
        <v/>
      </c>
      <c r="I15">
        <f>I14+E15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MAX(ABS(G7:G15))</f>
        <v/>
      </c>
      <c r="H17">
        <f>SUM(H7:H15)</f>
        <v/>
      </c>
      <c r="I17">
        <f>IF($B$3&gt;0,H17/$B$3,0)</f>
        <v/>
      </c>
      <c r="J17">
        <f>IF($D$3="","N/A",ABS(I17-$D$3)&lt;=$F$3)</f>
        <v/>
      </c>
    </row>
    <row r="18">
      <c r="A18" t="inlineStr">
        <is>
          <t>rtp_drift</t>
        </is>
      </c>
      <c r="B18">
        <f>IF($D$3="","",I17-$D$3)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normal_low_9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9</v>
      </c>
      <c r="K3" t="inlineStr">
        <is>
          <t>p_right</t>
        </is>
      </c>
      <c r="L3" t="n">
        <v>0.75852495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2792</v>
      </c>
      <c r="C7" t="n">
        <v>0</v>
      </c>
      <c r="D7">
        <f>C7/$H$3</f>
        <v/>
      </c>
      <c r="E7">
        <f>IF($J$3="",IF($B$18&gt;0,B7/$B$18,0),COMBIN($J$3,A7)*$L$3^A7*(1-$L$3)^($J$3-A7))</f>
        <v/>
      </c>
      <c r="F7">
        <f>IF($B$18&gt;0,B7/$B$18,0)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78921</v>
      </c>
      <c r="C8" t="n">
        <v>0</v>
      </c>
      <c r="D8">
        <f>C8/$H$3</f>
        <v/>
      </c>
      <c r="E8">
        <f>IF($J$3="",IF($B$18&gt;0,B8/$B$18,0),COMBIN($J$3,A8)*$L$3^A8*(1-$L$3)^($J$3-A8))</f>
        <v/>
      </c>
      <c r="F8">
        <f>IF($B$18&gt;0,B8/$B$18,0)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991626</v>
      </c>
      <c r="C9" t="n">
        <v>0</v>
      </c>
      <c r="D9">
        <f>C9/$H$3</f>
        <v/>
      </c>
      <c r="E9">
        <f>IF($J$3="",IF($B$18&gt;0,B9/$B$18,0),COMBIN($J$3,A9)*$L$3^A9*(1-$L$3)^($J$3-A9))</f>
        <v/>
      </c>
      <c r="F9">
        <f>IF($B$18&gt;0,B9/$B$18,0)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7268127</v>
      </c>
      <c r="C10" t="n">
        <v>0</v>
      </c>
      <c r="D10">
        <f>C10/$H$3</f>
        <v/>
      </c>
      <c r="E10">
        <f>IF($J$3="",IF($B$18&gt;0,B10/$B$18,0),COMBIN($J$3,A10)*$L$3^A10*(1-$L$3)^($J$3-A10))</f>
        <v/>
      </c>
      <c r="F10">
        <f>IF($B$18&gt;0,B10/$B$18,0)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34246118</v>
      </c>
      <c r="C11" t="n">
        <v>1</v>
      </c>
      <c r="D11">
        <f>C11/$H$3</f>
        <v/>
      </c>
      <c r="E11">
        <f>IF($J$3="",IF($B$18&gt;0,B11/$B$18,0),COMBIN($J$3,A11)*$L$3^A11*(1-$L$3)^($J$3-A11))</f>
        <v/>
      </c>
      <c r="F11">
        <f>IF($B$18&gt;0,B11/$B$18,0)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107574405</v>
      </c>
      <c r="C12" t="n">
        <v>3</v>
      </c>
      <c r="D12">
        <f>C12/$H$3</f>
        <v/>
      </c>
      <c r="E12">
        <f>IF($J$3="",IF($B$18&gt;0,B12/$B$18,0),COMBIN($J$3,A12)*$L$3^A12*(1-$L$3)^($J$3-A12))</f>
        <v/>
      </c>
      <c r="F12">
        <f>IF($B$18&gt;0,B12/$B$18,0)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225276195</v>
      </c>
      <c r="C13" t="n">
        <v>10</v>
      </c>
      <c r="D13">
        <f>C13/$H$3</f>
        <v/>
      </c>
      <c r="E13">
        <f>IF($J$3="",IF($B$18&gt;0,B13/$B$18,0),COMBIN($J$3,A13)*$L$3^A13*(1-$L$3)^($J$3-A13))</f>
        <v/>
      </c>
      <c r="F13">
        <f>IF($B$18&gt;0,B13/$B$18,0)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303274660</v>
      </c>
      <c r="C14" t="n">
        <v>39</v>
      </c>
      <c r="D14">
        <f>C14/$H$3</f>
        <v/>
      </c>
      <c r="E14">
        <f>IF($J$3="",IF($B$18&gt;0,B14/$B$18,0),COMBIN($J$3,A14)*$L$3^A14*(1-$L$3)^($J$3-A14))</f>
        <v/>
      </c>
      <c r="F14">
        <f>IF($B$18&gt;0,B14/$B$18,0)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238162697</v>
      </c>
      <c r="C15" t="n">
        <v>147</v>
      </c>
      <c r="D15">
        <f>C15/$H$3</f>
        <v/>
      </c>
      <c r="E15">
        <f>IF($J$3="",IF($B$18&gt;0,B15/$B$18,0),COMBIN($J$3,A15)*$L$3^A15*(1-$L$3)^($J$3-A15))</f>
        <v/>
      </c>
      <c r="F15">
        <f>IF($B$18&gt;0,B15/$B$18,0)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83238574</v>
      </c>
      <c r="C16" t="n">
        <v>560</v>
      </c>
      <c r="D16">
        <f>C16/$H$3</f>
        <v/>
      </c>
      <c r="E16">
        <f>IF($J$3="",IF($B$18&gt;0,B16/$B$18,0),COMBIN($J$3,A16)*$L$3^A16*(1-$L$3)^($J$3-A16))</f>
        <v/>
      </c>
      <c r="F16">
        <f>IF($B$18&gt;0,B16/$B$18,0)</f>
        <v/>
      </c>
      <c r="G16">
        <f>E16-F16</f>
        <v/>
      </c>
      <c r="H16">
        <f>D16*E16</f>
        <v/>
      </c>
      <c r="I16">
        <f>I15+E16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MAX(ABS(G7:G16))</f>
        <v/>
      </c>
      <c r="H18">
        <f>SUM(H7:H16)</f>
        <v/>
      </c>
      <c r="I18">
        <f>IF($B$3&gt;0,H18/$B$3,0)</f>
        <v/>
      </c>
      <c r="J18">
        <f>IF($D$3="","N/A",ABS(I18-$D$3)&lt;=$F$3)</f>
        <v/>
      </c>
    </row>
    <row r="19">
      <c r="A19" t="inlineStr">
        <is>
          <t>rtp_drift</t>
        </is>
      </c>
      <c r="B19">
        <f>IF($D$3="","",I18-$D$3)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normal_medium_10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10</v>
      </c>
      <c r="K3" t="inlineStr">
        <is>
          <t>p_right</t>
        </is>
      </c>
      <c r="L3" t="n">
        <v>0.7238362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2580</v>
      </c>
      <c r="C7" t="n">
        <v>0</v>
      </c>
      <c r="D7">
        <f>C7/$H$3</f>
        <v/>
      </c>
      <c r="E7">
        <f>IF($J$3="",IF($B$19&gt;0,B7/$B$19,0),COMBIN($J$3,A7)*$L$3^A7*(1-$L$3)^($J$3-A7))</f>
        <v/>
      </c>
      <c r="F7">
        <f>IF($B$19&gt;0,B7/$B$19,0)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67630</v>
      </c>
      <c r="C8" t="n">
        <v>0</v>
      </c>
      <c r="D8">
        <f>C8/$H$3</f>
        <v/>
      </c>
      <c r="E8">
        <f>IF($J$3="",IF($B$19&gt;0,B8/$B$19,0),COMBIN($J$3,A8)*$L$3^A8*(1-$L$3)^($J$3-A8))</f>
        <v/>
      </c>
      <c r="F8">
        <f>IF($B$19&gt;0,B8/$B$19,0)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797677</v>
      </c>
      <c r="C9" t="n">
        <v>0</v>
      </c>
      <c r="D9">
        <f>C9/$H$3</f>
        <v/>
      </c>
      <c r="E9">
        <f>IF($J$3="",IF($B$19&gt;0,B9/$B$19,0),COMBIN($J$3,A9)*$L$3^A9*(1-$L$3)^($J$3-A9))</f>
        <v/>
      </c>
      <c r="F9">
        <f>IF($B$19&gt;0,B9/$B$19,0)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5575315</v>
      </c>
      <c r="C10" t="n">
        <v>0</v>
      </c>
      <c r="D10">
        <f>C10/$H$3</f>
        <v/>
      </c>
      <c r="E10">
        <f>IF($J$3="",IF($B$19&gt;0,B10/$B$19,0),COMBIN($J$3,A10)*$L$3^A10*(1-$L$3)^($J$3-A10))</f>
        <v/>
      </c>
      <c r="F10">
        <f>IF($B$19&gt;0,B10/$B$19,0)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25572961</v>
      </c>
      <c r="C11" t="n">
        <v>0</v>
      </c>
      <c r="D11">
        <f>C11/$H$3</f>
        <v/>
      </c>
      <c r="E11">
        <f>IF($J$3="",IF($B$19&gt;0,B11/$B$19,0),COMBIN($J$3,A11)*$L$3^A11*(1-$L$3)^($J$3-A11))</f>
        <v/>
      </c>
      <c r="F11">
        <f>IF($B$19&gt;0,B11/$B$19,0)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80433285</v>
      </c>
      <c r="C12" t="n">
        <v>0</v>
      </c>
      <c r="D12">
        <f>C12/$H$3</f>
        <v/>
      </c>
      <c r="E12">
        <f>IF($J$3="",IF($B$19&gt;0,B12/$B$19,0),COMBIN($J$3,A12)*$L$3^A12*(1-$L$3)^($J$3-A12))</f>
        <v/>
      </c>
      <c r="F12">
        <f>IF($B$19&gt;0,B12/$B$19,0)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175682337</v>
      </c>
      <c r="C13" t="n">
        <v>0</v>
      </c>
      <c r="D13">
        <f>C13/$H$3</f>
        <v/>
      </c>
      <c r="E13">
        <f>IF($J$3="",IF($B$19&gt;0,B13/$B$19,0),COMBIN($J$3,A13)*$L$3^A13*(1-$L$3)^($J$3-A13))</f>
        <v/>
      </c>
      <c r="F13">
        <f>IF($B$19&gt;0,B13/$B$19,0)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263125895</v>
      </c>
      <c r="C14" t="n">
        <v>0</v>
      </c>
      <c r="D14">
        <f>C14/$H$3</f>
        <v/>
      </c>
      <c r="E14">
        <f>IF($J$3="",IF($B$19&gt;0,B14/$B$19,0),COMBIN($J$3,A14)*$L$3^A14*(1-$L$3)^($J$3-A14))</f>
        <v/>
      </c>
      <c r="F14">
        <f>IF($B$19&gt;0,B14/$B$19,0)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258623746</v>
      </c>
      <c r="C15" t="n">
        <v>2</v>
      </c>
      <c r="D15">
        <f>C15/$H$3</f>
        <v/>
      </c>
      <c r="E15">
        <f>IF($J$3="",IF($B$19&gt;0,B15/$B$19,0),COMBIN($J$3,A15)*$L$3^A15*(1-$L$3)^($J$3-A15))</f>
        <v/>
      </c>
      <c r="F15">
        <f>IF($B$19&gt;0,B15/$B$19,0)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150636226</v>
      </c>
      <c r="C16" t="n">
        <v>58</v>
      </c>
      <c r="D16">
        <f>C16/$H$3</f>
        <v/>
      </c>
      <c r="E16">
        <f>IF($J$3="",IF($B$19&gt;0,B16/$B$19,0),COMBIN($J$3,A16)*$L$3^A16*(1-$L$3)^($J$3-A16))</f>
        <v/>
      </c>
      <c r="F16">
        <f>IF($B$19&gt;0,B16/$B$19,0)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39451304</v>
      </c>
      <c r="C17" t="n">
        <v>2200</v>
      </c>
      <c r="D17">
        <f>C17/$H$3</f>
        <v/>
      </c>
      <c r="E17">
        <f>IF($J$3="",IF($B$19&gt;0,B17/$B$19,0),COMBIN($J$3,A17)*$L$3^A17*(1-$L$3)^($J$3-A17))</f>
        <v/>
      </c>
      <c r="F17">
        <f>IF($B$19&gt;0,B17/$B$19,0)</f>
        <v/>
      </c>
      <c r="G17">
        <f>E17-F17</f>
        <v/>
      </c>
      <c r="H17">
        <f>D17*E17</f>
        <v/>
      </c>
      <c r="I17">
        <f>I16+E17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MAX(ABS(G7:G17))</f>
        <v/>
      </c>
      <c r="H19">
        <f>SUM(H7:H17)</f>
        <v/>
      </c>
      <c r="I19">
        <f>IF($B$3&gt;0,H19/$B$3,0)</f>
        <v/>
      </c>
      <c r="J19">
        <f>IF($D$3="","N/A",ABS(I19-$D$3)&lt;=$F$3)</f>
        <v/>
      </c>
    </row>
    <row r="20">
      <c r="A20" t="inlineStr">
        <is>
          <t>rtp_drift</t>
        </is>
      </c>
      <c r="B20">
        <f>IF($D$3="","",I19-$D$3)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normal_medium_11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11</v>
      </c>
      <c r="K3" t="inlineStr">
        <is>
          <t>p_right</t>
        </is>
      </c>
      <c r="L3" t="n">
        <v>0.73952088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375</v>
      </c>
      <c r="C7" t="n">
        <v>0</v>
      </c>
      <c r="D7">
        <f>C7/$H$3</f>
        <v/>
      </c>
      <c r="E7">
        <f>IF($J$3="",IF($B$20&gt;0,B7/$B$20,0),COMBIN($J$3,A7)*$L$3^A7*(1-$L$3)^($J$3-A7))</f>
        <v/>
      </c>
      <c r="F7">
        <f>IF($B$20&gt;0,B7/$B$20,0)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11697</v>
      </c>
      <c r="C8" t="n">
        <v>0</v>
      </c>
      <c r="D8">
        <f>C8/$H$3</f>
        <v/>
      </c>
      <c r="E8">
        <f>IF($J$3="",IF($B$20&gt;0,B8/$B$20,0),COMBIN($J$3,A8)*$L$3^A8*(1-$L$3)^($J$3-A8))</f>
        <v/>
      </c>
      <c r="F8">
        <f>IF($B$20&gt;0,B8/$B$20,0)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166043</v>
      </c>
      <c r="C9" t="n">
        <v>0</v>
      </c>
      <c r="D9">
        <f>C9/$H$3</f>
        <v/>
      </c>
      <c r="E9">
        <f>IF($J$3="",IF($B$20&gt;0,B9/$B$20,0),COMBIN($J$3,A9)*$L$3^A9*(1-$L$3)^($J$3-A9))</f>
        <v/>
      </c>
      <c r="F9">
        <f>IF($B$20&gt;0,B9/$B$20,0)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1414225</v>
      </c>
      <c r="C10" t="n">
        <v>0</v>
      </c>
      <c r="D10">
        <f>C10/$H$3</f>
        <v/>
      </c>
      <c r="E10">
        <f>IF($J$3="",IF($B$20&gt;0,B10/$B$20,0),COMBIN($J$3,A10)*$L$3^A10*(1-$L$3)^($J$3-A10))</f>
        <v/>
      </c>
      <c r="F10">
        <f>IF($B$20&gt;0,B10/$B$20,0)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8030195</v>
      </c>
      <c r="C11" t="n">
        <v>0</v>
      </c>
      <c r="D11">
        <f>C11/$H$3</f>
        <v/>
      </c>
      <c r="E11">
        <f>IF($J$3="",IF($B$20&gt;0,B11/$B$20,0),COMBIN($J$3,A11)*$L$3^A11*(1-$L$3)^($J$3-A11))</f>
        <v/>
      </c>
      <c r="F11">
        <f>IF($B$20&gt;0,B11/$B$20,0)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31917705</v>
      </c>
      <c r="C12" t="n">
        <v>0</v>
      </c>
      <c r="D12">
        <f>C12/$H$3</f>
        <v/>
      </c>
      <c r="E12">
        <f>IF($J$3="",IF($B$20&gt;0,B12/$B$20,0),COMBIN($J$3,A12)*$L$3^A12*(1-$L$3)^($J$3-A12))</f>
        <v/>
      </c>
      <c r="F12">
        <f>IF($B$20&gt;0,B12/$B$20,0)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90616897</v>
      </c>
      <c r="C13" t="n">
        <v>0</v>
      </c>
      <c r="D13">
        <f>C13/$H$3</f>
        <v/>
      </c>
      <c r="E13">
        <f>IF($J$3="",IF($B$20&gt;0,B13/$B$20,0),COMBIN($J$3,A13)*$L$3^A13*(1-$L$3)^($J$3-A13))</f>
        <v/>
      </c>
      <c r="F13">
        <f>IF($B$20&gt;0,B13/$B$20,0)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183763258</v>
      </c>
      <c r="C14" t="n">
        <v>0</v>
      </c>
      <c r="D14">
        <f>C14/$H$3</f>
        <v/>
      </c>
      <c r="E14">
        <f>IF($J$3="",IF($B$20&gt;0,B14/$B$20,0),COMBIN($J$3,A14)*$L$3^A14*(1-$L$3)^($J$3-A14))</f>
        <v/>
      </c>
      <c r="F14">
        <f>IF($B$20&gt;0,B14/$B$20,0)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260859235</v>
      </c>
      <c r="C15" t="n">
        <v>0</v>
      </c>
      <c r="D15">
        <f>C15/$H$3</f>
        <v/>
      </c>
      <c r="E15">
        <f>IF($J$3="",IF($B$20&gt;0,B15/$B$20,0),COMBIN($J$3,A15)*$L$3^A15*(1-$L$3)^($J$3-A15))</f>
        <v/>
      </c>
      <c r="F15">
        <f>IF($B$20&gt;0,B15/$B$20,0)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246866688</v>
      </c>
      <c r="C16" t="n">
        <v>2</v>
      </c>
      <c r="D16">
        <f>C16/$H$3</f>
        <v/>
      </c>
      <c r="E16">
        <f>IF($J$3="",IF($B$20&gt;0,B16/$B$20,0),COMBIN($J$3,A16)*$L$3^A16*(1-$L$3)^($J$3-A16))</f>
        <v/>
      </c>
      <c r="F16">
        <f>IF($B$20&gt;0,B16/$B$20,0)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140174823</v>
      </c>
      <c r="C17" t="n">
        <v>63</v>
      </c>
      <c r="D17">
        <f>C17/$H$3</f>
        <v/>
      </c>
      <c r="E17">
        <f>IF($J$3="",IF($B$20&gt;0,B17/$B$20,0),COMBIN($J$3,A17)*$L$3^A17*(1-$L$3)^($J$3-A17))</f>
        <v/>
      </c>
      <c r="F17">
        <f>IF($B$20&gt;0,B17/$B$20,0)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36133715</v>
      </c>
      <c r="C18" t="n">
        <v>2400</v>
      </c>
      <c r="D18">
        <f>C18/$H$3</f>
        <v/>
      </c>
      <c r="E18">
        <f>IF($J$3="",IF($B$20&gt;0,B18/$B$20,0),COMBIN($J$3,A18)*$L$3^A18*(1-$L$3)^($J$3-A18))</f>
        <v/>
      </c>
      <c r="F18">
        <f>IF($B$20&gt;0,B18/$B$20,0)</f>
        <v/>
      </c>
      <c r="G18">
        <f>E18-F18</f>
        <v/>
      </c>
      <c r="H18">
        <f>D18*E18</f>
        <v/>
      </c>
      <c r="I18">
        <f>I17+E18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MAX(ABS(G7:G18))</f>
        <v/>
      </c>
      <c r="H20">
        <f>SUM(H7:H18)</f>
        <v/>
      </c>
      <c r="I20">
        <f>IF($B$3&gt;0,H20/$B$3,0)</f>
        <v/>
      </c>
      <c r="J20">
        <f>IF($D$3="","N/A",ABS(I20-$D$3)&lt;=$F$3)</f>
        <v/>
      </c>
    </row>
    <row r="21">
      <c r="A21" t="inlineStr">
        <is>
          <t>rtp_drift</t>
        </is>
      </c>
      <c r="B21">
        <f>IF($D$3="","",I20-$D$3)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normal_medium_12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12</v>
      </c>
      <c r="K3" t="inlineStr">
        <is>
          <t>p_right</t>
        </is>
      </c>
      <c r="L3" t="n">
        <v>0.7384317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103</v>
      </c>
      <c r="C7" t="n">
        <v>0</v>
      </c>
      <c r="D7">
        <f>C7/$H$3</f>
        <v/>
      </c>
      <c r="E7">
        <f>IF($J$3="",IF($B$21&gt;0,B7/$B$21,0),COMBIN($J$3,A7)*$L$3^A7*(1-$L$3)^($J$3-A7))</f>
        <v/>
      </c>
      <c r="F7">
        <f>IF($B$21&gt;0,B7/$B$21,0)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3475</v>
      </c>
      <c r="C8" t="n">
        <v>0</v>
      </c>
      <c r="D8">
        <f>C8/$H$3</f>
        <v/>
      </c>
      <c r="E8">
        <f>IF($J$3="",IF($B$21&gt;0,B8/$B$21,0),COMBIN($J$3,A8)*$L$3^A8*(1-$L$3)^($J$3-A8))</f>
        <v/>
      </c>
      <c r="F8">
        <f>IF($B$21&gt;0,B8/$B$21,0)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53953</v>
      </c>
      <c r="C9" t="n">
        <v>0</v>
      </c>
      <c r="D9">
        <f>C9/$H$3</f>
        <v/>
      </c>
      <c r="E9">
        <f>IF($J$3="",IF($B$21&gt;0,B9/$B$21,0),COMBIN($J$3,A9)*$L$3^A9*(1-$L$3)^($J$3-A9))</f>
        <v/>
      </c>
      <c r="F9">
        <f>IF($B$21&gt;0,B9/$B$21,0)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507715</v>
      </c>
      <c r="C10" t="n">
        <v>0</v>
      </c>
      <c r="D10">
        <f>C10/$H$3</f>
        <v/>
      </c>
      <c r="E10">
        <f>IF($J$3="",IF($B$21&gt;0,B10/$B$21,0),COMBIN($J$3,A10)*$L$3^A10*(1-$L$3)^($J$3-A10))</f>
        <v/>
      </c>
      <c r="F10">
        <f>IF($B$21&gt;0,B10/$B$21,0)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3224982</v>
      </c>
      <c r="C11" t="n">
        <v>0</v>
      </c>
      <c r="D11">
        <f>C11/$H$3</f>
        <v/>
      </c>
      <c r="E11">
        <f>IF($J$3="",IF($B$21&gt;0,B11/$B$21,0),COMBIN($J$3,A11)*$L$3^A11*(1-$L$3)^($J$3-A11))</f>
        <v/>
      </c>
      <c r="F11">
        <f>IF($B$21&gt;0,B11/$B$21,0)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14567082</v>
      </c>
      <c r="C12" t="n">
        <v>0</v>
      </c>
      <c r="D12">
        <f>C12/$H$3</f>
        <v/>
      </c>
      <c r="E12">
        <f>IF($J$3="",IF($B$21&gt;0,B12/$B$21,0),COMBIN($J$3,A12)*$L$3^A12*(1-$L$3)^($J$3-A12))</f>
        <v/>
      </c>
      <c r="F12">
        <f>IF($B$21&gt;0,B12/$B$21,0)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47978271</v>
      </c>
      <c r="C13" t="n">
        <v>0</v>
      </c>
      <c r="D13">
        <f>C13/$H$3</f>
        <v/>
      </c>
      <c r="E13">
        <f>IF($J$3="",IF($B$21&gt;0,B13/$B$21,0),COMBIN($J$3,A13)*$L$3^A13*(1-$L$3)^($J$3-A13))</f>
        <v/>
      </c>
      <c r="F13">
        <f>IF($B$21&gt;0,B13/$B$21,0)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116097545</v>
      </c>
      <c r="C14" t="n">
        <v>0</v>
      </c>
      <c r="D14">
        <f>C14/$H$3</f>
        <v/>
      </c>
      <c r="E14">
        <f>IF($J$3="",IF($B$21&gt;0,B14/$B$21,0),COMBIN($J$3,A14)*$L$3^A14*(1-$L$3)^($J$3-A14))</f>
        <v/>
      </c>
      <c r="F14">
        <f>IF($B$21&gt;0,B14/$B$21,0)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204846376</v>
      </c>
      <c r="C15" t="n">
        <v>0</v>
      </c>
      <c r="D15">
        <f>C15/$H$3</f>
        <v/>
      </c>
      <c r="E15">
        <f>IF($J$3="",IF($B$21&gt;0,B15/$B$21,0),COMBIN($J$3,A15)*$L$3^A15*(1-$L$3)^($J$3-A15))</f>
        <v/>
      </c>
      <c r="F15">
        <f>IF($B$21&gt;0,B15/$B$21,0)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257022416</v>
      </c>
      <c r="C16" t="n">
        <v>0</v>
      </c>
      <c r="D16">
        <f>C16/$H$3</f>
        <v/>
      </c>
      <c r="E16">
        <f>IF($J$3="",IF($B$21&gt;0,B16/$B$21,0),COMBIN($J$3,A16)*$L$3^A16*(1-$L$3)^($J$3-A16))</f>
        <v/>
      </c>
      <c r="F16">
        <f>IF($B$21&gt;0,B16/$B$21,0)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217679479</v>
      </c>
      <c r="C17" t="n">
        <v>2</v>
      </c>
      <c r="D17">
        <f>C17/$H$3</f>
        <v/>
      </c>
      <c r="E17">
        <f>IF($J$3="",IF($B$21&gt;0,B17/$B$21,0),COMBIN($J$3,A17)*$L$3^A17*(1-$L$3)^($J$3-A17))</f>
        <v/>
      </c>
      <c r="F17">
        <f>IF($B$21&gt;0,B17/$B$21,0)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111732633</v>
      </c>
      <c r="C18" t="n">
        <v>79</v>
      </c>
      <c r="D18">
        <f>C18/$H$3</f>
        <v/>
      </c>
      <c r="E18">
        <f>IF($J$3="",IF($B$21&gt;0,B18/$B$21,0),COMBIN($J$3,A18)*$L$3^A18*(1-$L$3)^($J$3-A18))</f>
        <v/>
      </c>
      <c r="F18">
        <f>IF($B$21&gt;0,B18/$B$21,0)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26299722</v>
      </c>
      <c r="C19" t="n">
        <v>3300</v>
      </c>
      <c r="D19">
        <f>C19/$H$3</f>
        <v/>
      </c>
      <c r="E19">
        <f>IF($J$3="",IF($B$21&gt;0,B19/$B$21,0),COMBIN($J$3,A19)*$L$3^A19*(1-$L$3)^($J$3-A19))</f>
        <v/>
      </c>
      <c r="F19">
        <f>IF($B$21&gt;0,B19/$B$21,0)</f>
        <v/>
      </c>
      <c r="G19">
        <f>E19-F19</f>
        <v/>
      </c>
      <c r="H19">
        <f>D19*E19</f>
        <v/>
      </c>
      <c r="I19">
        <f>I18+E19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MAX(ABS(G7:G19))</f>
        <v/>
      </c>
      <c r="H21">
        <f>SUM(H7:H19)</f>
        <v/>
      </c>
      <c r="I21">
        <f>IF($B$3&gt;0,H21/$B$3,0)</f>
        <v/>
      </c>
      <c r="J21">
        <f>IF($D$3="","N/A",ABS(I21-$D$3)&lt;=$F$3)</f>
        <v/>
      </c>
    </row>
    <row r="22">
      <c r="A22" t="inlineStr">
        <is>
          <t>rtp_drift</t>
        </is>
      </c>
      <c r="B22">
        <f>IF($D$3="","",I21-$D$3)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normal_medium_13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13</v>
      </c>
      <c r="K3" t="inlineStr">
        <is>
          <t>p_right</t>
        </is>
      </c>
      <c r="L3" t="n">
        <v>0.73987876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25</v>
      </c>
      <c r="C7" t="n">
        <v>0</v>
      </c>
      <c r="D7">
        <f>C7/$H$3</f>
        <v/>
      </c>
      <c r="E7">
        <f>IF($J$3="",IF($B$22&gt;0,B7/$B$22,0),COMBIN($J$3,A7)*$L$3^A7*(1-$L$3)^($J$3-A7))</f>
        <v/>
      </c>
      <c r="F7">
        <f>IF($B$22&gt;0,B7/$B$22,0)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923</v>
      </c>
      <c r="C8" t="n">
        <v>0</v>
      </c>
      <c r="D8">
        <f>C8/$H$3</f>
        <v/>
      </c>
      <c r="E8">
        <f>IF($J$3="",IF($B$22&gt;0,B8/$B$22,0),COMBIN($J$3,A8)*$L$3^A8*(1-$L$3)^($J$3-A8))</f>
        <v/>
      </c>
      <c r="F8">
        <f>IF($B$22&gt;0,B8/$B$22,0)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15753</v>
      </c>
      <c r="C9" t="n">
        <v>0</v>
      </c>
      <c r="D9">
        <f>C9/$H$3</f>
        <v/>
      </c>
      <c r="E9">
        <f>IF($J$3="",IF($B$22&gt;0,B9/$B$22,0),COMBIN($J$3,A9)*$L$3^A9*(1-$L$3)^($J$3-A9))</f>
        <v/>
      </c>
      <c r="F9">
        <f>IF($B$22&gt;0,B9/$B$22,0)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164288</v>
      </c>
      <c r="C10" t="n">
        <v>0</v>
      </c>
      <c r="D10">
        <f>C10/$H$3</f>
        <v/>
      </c>
      <c r="E10">
        <f>IF($J$3="",IF($B$22&gt;0,B10/$B$22,0),COMBIN($J$3,A10)*$L$3^A10*(1-$L$3)^($J$3-A10))</f>
        <v/>
      </c>
      <c r="F10">
        <f>IF($B$22&gt;0,B10/$B$22,0)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1168236</v>
      </c>
      <c r="C11" t="n">
        <v>0</v>
      </c>
      <c r="D11">
        <f>C11/$H$3</f>
        <v/>
      </c>
      <c r="E11">
        <f>IF($J$3="",IF($B$22&gt;0,B11/$B$22,0),COMBIN($J$3,A11)*$L$3^A11*(1-$L$3)^($J$3-A11))</f>
        <v/>
      </c>
      <c r="F11">
        <f>IF($B$22&gt;0,B11/$B$22,0)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5981193</v>
      </c>
      <c r="C12" t="n">
        <v>0</v>
      </c>
      <c r="D12">
        <f>C12/$H$3</f>
        <v/>
      </c>
      <c r="E12">
        <f>IF($J$3="",IF($B$22&gt;0,B12/$B$22,0),COMBIN($J$3,A12)*$L$3^A12*(1-$L$3)^($J$3-A12))</f>
        <v/>
      </c>
      <c r="F12">
        <f>IF($B$22&gt;0,B12/$B$22,0)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22683566</v>
      </c>
      <c r="C13" t="n">
        <v>0</v>
      </c>
      <c r="D13">
        <f>C13/$H$3</f>
        <v/>
      </c>
      <c r="E13">
        <f>IF($J$3="",IF($B$22&gt;0,B13/$B$22,0),COMBIN($J$3,A13)*$L$3^A13*(1-$L$3)^($J$3-A13))</f>
        <v/>
      </c>
      <c r="F13">
        <f>IF($B$22&gt;0,B13/$B$22,0)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64520255</v>
      </c>
      <c r="C14" t="n">
        <v>0</v>
      </c>
      <c r="D14">
        <f>C14/$H$3</f>
        <v/>
      </c>
      <c r="E14">
        <f>IF($J$3="",IF($B$22&gt;0,B14/$B$22,0),COMBIN($J$3,A14)*$L$3^A14*(1-$L$3)^($J$3-A14))</f>
        <v/>
      </c>
      <c r="F14">
        <f>IF($B$22&gt;0,B14/$B$22,0)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137639185</v>
      </c>
      <c r="C15" t="n">
        <v>0</v>
      </c>
      <c r="D15">
        <f>C15/$H$3</f>
        <v/>
      </c>
      <c r="E15">
        <f>IF($J$3="",IF($B$22&gt;0,B15/$B$22,0),COMBIN($J$3,A15)*$L$3^A15*(1-$L$3)^($J$3-A15))</f>
        <v/>
      </c>
      <c r="F15">
        <f>IF($B$22&gt;0,B15/$B$22,0)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217497535</v>
      </c>
      <c r="C16" t="n">
        <v>0</v>
      </c>
      <c r="D16">
        <f>C16/$H$3</f>
        <v/>
      </c>
      <c r="E16">
        <f>IF($J$3="",IF($B$22&gt;0,B16/$B$22,0),COMBIN($J$3,A16)*$L$3^A16*(1-$L$3)^($J$3-A16))</f>
        <v/>
      </c>
      <c r="F16">
        <f>IF($B$22&gt;0,B16/$B$22,0)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247456624</v>
      </c>
      <c r="C17" t="n">
        <v>0</v>
      </c>
      <c r="D17">
        <f>C17/$H$3</f>
        <v/>
      </c>
      <c r="E17">
        <f>IF($J$3="",IF($B$22&gt;0,B17/$B$22,0),COMBIN($J$3,A17)*$L$3^A17*(1-$L$3)^($J$3-A17))</f>
        <v/>
      </c>
      <c r="F17">
        <f>IF($B$22&gt;0,B17/$B$22,0)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191960736</v>
      </c>
      <c r="C18" t="n">
        <v>3</v>
      </c>
      <c r="D18">
        <f>C18/$H$3</f>
        <v/>
      </c>
      <c r="E18">
        <f>IF($J$3="",IF($B$22&gt;0,B18/$B$22,0),COMBIN($J$3,A18)*$L$3^A18*(1-$L$3)^($J$3-A18))</f>
        <v/>
      </c>
      <c r="F18">
        <f>IF($B$22&gt;0,B18/$B$22,0)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91000946</v>
      </c>
      <c r="C19" t="n">
        <v>109</v>
      </c>
      <c r="D19">
        <f>C19/$H$3</f>
        <v/>
      </c>
      <c r="E19">
        <f>IF($J$3="",IF($B$22&gt;0,B19/$B$22,0),COMBIN($J$3,A19)*$L$3^A19*(1-$L$3)^($J$3-A19))</f>
        <v/>
      </c>
      <c r="F19">
        <f>IF($B$22&gt;0,B19/$B$22,0)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19896190</v>
      </c>
      <c r="C20" t="n">
        <v>4300</v>
      </c>
      <c r="D20">
        <f>C20/$H$3</f>
        <v/>
      </c>
      <c r="E20">
        <f>IF($J$3="",IF($B$22&gt;0,B20/$B$22,0),COMBIN($J$3,A20)*$L$3^A20*(1-$L$3)^($J$3-A20))</f>
        <v/>
      </c>
      <c r="F20">
        <f>IF($B$22&gt;0,B20/$B$22,0)</f>
        <v/>
      </c>
      <c r="G20">
        <f>E20-F20</f>
        <v/>
      </c>
      <c r="H20">
        <f>D20*E20</f>
        <v/>
      </c>
      <c r="I20">
        <f>I19+E20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MAX(ABS(G7:G20))</f>
        <v/>
      </c>
      <c r="H22">
        <f>SUM(H7:H20)</f>
        <v/>
      </c>
      <c r="I22">
        <f>IF($B$3&gt;0,H22/$B$3,0)</f>
        <v/>
      </c>
      <c r="J22">
        <f>IF($D$3="","N/A",ABS(I22-$D$3)&lt;=$F$3)</f>
        <v/>
      </c>
    </row>
    <row r="23">
      <c r="A23" t="inlineStr">
        <is>
          <t>rtp_drift</t>
        </is>
      </c>
      <c r="B23">
        <f>IF($D$3="","",I22-$D$3)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normal_medium_14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14</v>
      </c>
      <c r="K3" t="inlineStr">
        <is>
          <t>p_right</t>
        </is>
      </c>
      <c r="L3" t="n">
        <v>0.72247932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16</v>
      </c>
      <c r="C7" t="n">
        <v>0</v>
      </c>
      <c r="D7">
        <f>C7/$H$3</f>
        <v/>
      </c>
      <c r="E7">
        <f>IF($J$3="",IF($B$23&gt;0,B7/$B$23,0),COMBIN($J$3,A7)*$L$3^A7*(1-$L$3)^($J$3-A7))</f>
        <v/>
      </c>
      <c r="F7">
        <f>IF($B$23&gt;0,B7/$B$23,0)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586</v>
      </c>
      <c r="C8" t="n">
        <v>0</v>
      </c>
      <c r="D8">
        <f>C8/$H$3</f>
        <v/>
      </c>
      <c r="E8">
        <f>IF($J$3="",IF($B$23&gt;0,B8/$B$23,0),COMBIN($J$3,A8)*$L$3^A8*(1-$L$3)^($J$3-A8))</f>
        <v/>
      </c>
      <c r="F8">
        <f>IF($B$23&gt;0,B8/$B$23,0)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9914</v>
      </c>
      <c r="C9" t="n">
        <v>0</v>
      </c>
      <c r="D9">
        <f>C9/$H$3</f>
        <v/>
      </c>
      <c r="E9">
        <f>IF($J$3="",IF($B$23&gt;0,B9/$B$23,0),COMBIN($J$3,A9)*$L$3^A9*(1-$L$3)^($J$3-A9))</f>
        <v/>
      </c>
      <c r="F9">
        <f>IF($B$23&gt;0,B9/$B$23,0)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103235</v>
      </c>
      <c r="C10" t="n">
        <v>0</v>
      </c>
      <c r="D10">
        <f>C10/$H$3</f>
        <v/>
      </c>
      <c r="E10">
        <f>IF($J$3="",IF($B$23&gt;0,B10/$B$23,0),COMBIN($J$3,A10)*$L$3^A10*(1-$L$3)^($J$3-A10))</f>
        <v/>
      </c>
      <c r="F10">
        <f>IF($B$23&gt;0,B10/$B$23,0)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739076</v>
      </c>
      <c r="C11" t="n">
        <v>0</v>
      </c>
      <c r="D11">
        <f>C11/$H$3</f>
        <v/>
      </c>
      <c r="E11">
        <f>IF($J$3="",IF($B$23&gt;0,B11/$B$23,0),COMBIN($J$3,A11)*$L$3^A11*(1-$L$3)^($J$3-A11))</f>
        <v/>
      </c>
      <c r="F11">
        <f>IF($B$23&gt;0,B11/$B$23,0)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3848127</v>
      </c>
      <c r="C12" t="n">
        <v>0</v>
      </c>
      <c r="D12">
        <f>C12/$H$3</f>
        <v/>
      </c>
      <c r="E12">
        <f>IF($J$3="",IF($B$23&gt;0,B12/$B$23,0),COMBIN($J$3,A12)*$L$3^A12*(1-$L$3)^($J$3-A12))</f>
        <v/>
      </c>
      <c r="F12">
        <f>IF($B$23&gt;0,B12/$B$23,0)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15026944</v>
      </c>
      <c r="C13" t="n">
        <v>0</v>
      </c>
      <c r="D13">
        <f>C13/$H$3</f>
        <v/>
      </c>
      <c r="E13">
        <f>IF($J$3="",IF($B$23&gt;0,B13/$B$23,0),COMBIN($J$3,A13)*$L$3^A13*(1-$L$3)^($J$3-A13))</f>
        <v/>
      </c>
      <c r="F13">
        <f>IF($B$23&gt;0,B13/$B$23,0)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44708766</v>
      </c>
      <c r="C14" t="n">
        <v>0</v>
      </c>
      <c r="D14">
        <f>C14/$H$3</f>
        <v/>
      </c>
      <c r="E14">
        <f>IF($J$3="",IF($B$23&gt;0,B14/$B$23,0),COMBIN($J$3,A14)*$L$3^A14*(1-$L$3)^($J$3-A14))</f>
        <v/>
      </c>
      <c r="F14">
        <f>IF($B$23&gt;0,B14/$B$23,0)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101842911</v>
      </c>
      <c r="C15" t="n">
        <v>0</v>
      </c>
      <c r="D15">
        <f>C15/$H$3</f>
        <v/>
      </c>
      <c r="E15">
        <f>IF($J$3="",IF($B$23&gt;0,B15/$B$23,0),COMBIN($J$3,A15)*$L$3^A15*(1-$L$3)^($J$3-A15))</f>
        <v/>
      </c>
      <c r="F15">
        <f>IF($B$23&gt;0,B15/$B$23,0)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176754148</v>
      </c>
      <c r="C16" t="n">
        <v>0</v>
      </c>
      <c r="D16">
        <f>C16/$H$3</f>
        <v/>
      </c>
      <c r="E16">
        <f>IF($J$3="",IF($B$23&gt;0,B16/$B$23,0),COMBIN($J$3,A16)*$L$3^A16*(1-$L$3)^($J$3-A16))</f>
        <v/>
      </c>
      <c r="F16">
        <f>IF($B$23&gt;0,B16/$B$23,0)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230075136</v>
      </c>
      <c r="C17" t="n">
        <v>0</v>
      </c>
      <c r="D17">
        <f>C17/$H$3</f>
        <v/>
      </c>
      <c r="E17">
        <f>IF($J$3="",IF($B$23&gt;0,B17/$B$23,0),COMBIN($J$3,A17)*$L$3^A17*(1-$L$3)^($J$3-A17))</f>
        <v/>
      </c>
      <c r="F17">
        <f>IF($B$23&gt;0,B17/$B$23,0)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217804607</v>
      </c>
      <c r="C18" t="n">
        <v>4</v>
      </c>
      <c r="D18">
        <f>C18/$H$3</f>
        <v/>
      </c>
      <c r="E18">
        <f>IF($J$3="",IF($B$23&gt;0,B18/$B$23,0),COMBIN($J$3,A18)*$L$3^A18*(1-$L$3)^($J$3-A18))</f>
        <v/>
      </c>
      <c r="F18">
        <f>IF($B$23&gt;0,B18/$B$23,0)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141754592</v>
      </c>
      <c r="C19" t="n">
        <v>42</v>
      </c>
      <c r="D19">
        <f>C19/$H$3</f>
        <v/>
      </c>
      <c r="E19">
        <f>IF($J$3="",IF($B$23&gt;0,B19/$B$23,0),COMBIN($J$3,A19)*$L$3^A19*(1-$L$3)^($J$3-A19))</f>
        <v/>
      </c>
      <c r="F19">
        <f>IF($B$23&gt;0,B19/$B$23,0)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56774569</v>
      </c>
      <c r="C20" t="n">
        <v>493</v>
      </c>
      <c r="D20">
        <f>C20/$H$3</f>
        <v/>
      </c>
      <c r="E20">
        <f>IF($J$3="",IF($B$23&gt;0,B20/$B$23,0),COMBIN($J$3,A20)*$L$3^A20*(1-$L$3)^($J$3-A20))</f>
        <v/>
      </c>
      <c r="F20">
        <f>IF($B$23&gt;0,B20/$B$23,0)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10557805</v>
      </c>
      <c r="C21" t="n">
        <v>5800</v>
      </c>
      <c r="D21">
        <f>C21/$H$3</f>
        <v/>
      </c>
      <c r="E21">
        <f>IF($J$3="",IF($B$23&gt;0,B21/$B$23,0),COMBIN($J$3,A21)*$L$3^A21*(1-$L$3)^($J$3-A21))</f>
        <v/>
      </c>
      <c r="F21">
        <f>IF($B$23&gt;0,B21/$B$23,0)</f>
        <v/>
      </c>
      <c r="G21">
        <f>E21-F21</f>
        <v/>
      </c>
      <c r="H21">
        <f>D21*E21</f>
        <v/>
      </c>
      <c r="I21">
        <f>I20+E21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MAX(ABS(G7:G21))</f>
        <v/>
      </c>
      <c r="H23">
        <f>SUM(H7:H21)</f>
        <v/>
      </c>
      <c r="I23">
        <f>IF($B$3&gt;0,H23/$B$3,0)</f>
        <v/>
      </c>
      <c r="J23">
        <f>IF($D$3="","N/A",ABS(I23-$D$3)&lt;=$F$3)</f>
        <v/>
      </c>
    </row>
    <row r="24">
      <c r="A24" t="inlineStr">
        <is>
          <t>rtp_drift</t>
        </is>
      </c>
      <c r="B24">
        <f>IF($D$3="","",I23-$D$3)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normal_medium_15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15</v>
      </c>
      <c r="K3" t="inlineStr">
        <is>
          <t>p_right</t>
        </is>
      </c>
      <c r="L3" t="n">
        <v>0.69302792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20</v>
      </c>
      <c r="C7" t="n">
        <v>0</v>
      </c>
      <c r="D7">
        <f>C7/$H$3</f>
        <v/>
      </c>
      <c r="E7">
        <f>IF($J$3="",IF($B$24&gt;0,B7/$B$24,0),COMBIN($J$3,A7)*$L$3^A7*(1-$L$3)^($J$3-A7))</f>
        <v/>
      </c>
      <c r="F7">
        <f>IF($B$24&gt;0,B7/$B$24,0)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686</v>
      </c>
      <c r="C8" t="n">
        <v>0</v>
      </c>
      <c r="D8">
        <f>C8/$H$3</f>
        <v/>
      </c>
      <c r="E8">
        <f>IF($J$3="",IF($B$24&gt;0,B8/$B$24,0),COMBIN($J$3,A8)*$L$3^A8*(1-$L$3)^($J$3-A8))</f>
        <v/>
      </c>
      <c r="F8">
        <f>IF($B$24&gt;0,B8/$B$24,0)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10839</v>
      </c>
      <c r="C9" t="n">
        <v>0</v>
      </c>
      <c r="D9">
        <f>C9/$H$3</f>
        <v/>
      </c>
      <c r="E9">
        <f>IF($J$3="",IF($B$24&gt;0,B9/$B$24,0),COMBIN($J$3,A9)*$L$3^A9*(1-$L$3)^($J$3-A9))</f>
        <v/>
      </c>
      <c r="F9">
        <f>IF($B$24&gt;0,B9/$B$24,0)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106035</v>
      </c>
      <c r="C10" t="n">
        <v>0</v>
      </c>
      <c r="D10">
        <f>C10/$H$3</f>
        <v/>
      </c>
      <c r="E10">
        <f>IF($J$3="",IF($B$24&gt;0,B10/$B$24,0),COMBIN($J$3,A10)*$L$3^A10*(1-$L$3)^($J$3-A10))</f>
        <v/>
      </c>
      <c r="F10">
        <f>IF($B$24&gt;0,B10/$B$24,0)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718163</v>
      </c>
      <c r="C11" t="n">
        <v>0</v>
      </c>
      <c r="D11">
        <f>C11/$H$3</f>
        <v/>
      </c>
      <c r="E11">
        <f>IF($J$3="",IF($B$24&gt;0,B11/$B$24,0),COMBIN($J$3,A11)*$L$3^A11*(1-$L$3)^($J$3-A11))</f>
        <v/>
      </c>
      <c r="F11">
        <f>IF($B$24&gt;0,B11/$B$24,0)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3566956</v>
      </c>
      <c r="C12" t="n">
        <v>0</v>
      </c>
      <c r="D12">
        <f>C12/$H$3</f>
        <v/>
      </c>
      <c r="E12">
        <f>IF($J$3="",IF($B$24&gt;0,B12/$B$24,0),COMBIN($J$3,A12)*$L$3^A12*(1-$L$3)^($J$3-A12))</f>
        <v/>
      </c>
      <c r="F12">
        <f>IF($B$24&gt;0,B12/$B$24,0)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13421416</v>
      </c>
      <c r="C13" t="n">
        <v>0</v>
      </c>
      <c r="D13">
        <f>C13/$H$3</f>
        <v/>
      </c>
      <c r="E13">
        <f>IF($J$3="",IF($B$24&gt;0,B13/$B$24,0),COMBIN($J$3,A13)*$L$3^A13*(1-$L$3)^($J$3-A13))</f>
        <v/>
      </c>
      <c r="F13">
        <f>IF($B$24&gt;0,B13/$B$24,0)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38957823</v>
      </c>
      <c r="C14" t="n">
        <v>0</v>
      </c>
      <c r="D14">
        <f>C14/$H$3</f>
        <v/>
      </c>
      <c r="E14">
        <f>IF($J$3="",IF($B$24&gt;0,B14/$B$24,0),COMBIN($J$3,A14)*$L$3^A14*(1-$L$3)^($J$3-A14))</f>
        <v/>
      </c>
      <c r="F14">
        <f>IF($B$24&gt;0,B14/$B$24,0)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87952165</v>
      </c>
      <c r="C15" t="n">
        <v>0</v>
      </c>
      <c r="D15">
        <f>C15/$H$3</f>
        <v/>
      </c>
      <c r="E15">
        <f>IF($J$3="",IF($B$24&gt;0,B15/$B$24,0),COMBIN($J$3,A15)*$L$3^A15*(1-$L$3)^($J$3-A15))</f>
        <v/>
      </c>
      <c r="F15">
        <f>IF($B$24&gt;0,B15/$B$24,0)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154437912</v>
      </c>
      <c r="C16" t="n">
        <v>0</v>
      </c>
      <c r="D16">
        <f>C16/$H$3</f>
        <v/>
      </c>
      <c r="E16">
        <f>IF($J$3="",IF($B$24&gt;0,B16/$B$24,0),COMBIN($J$3,A16)*$L$3^A16*(1-$L$3)^($J$3-A16))</f>
        <v/>
      </c>
      <c r="F16">
        <f>IF($B$24&gt;0,B16/$B$24,0)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209197760</v>
      </c>
      <c r="C17" t="n">
        <v>1</v>
      </c>
      <c r="D17">
        <f>C17/$H$3</f>
        <v/>
      </c>
      <c r="E17">
        <f>IF($J$3="",IF($B$24&gt;0,B17/$B$24,0),COMBIN($J$3,A17)*$L$3^A17*(1-$L$3)^($J$3-A17))</f>
        <v/>
      </c>
      <c r="F17">
        <f>IF($B$24&gt;0,B17/$B$24,0)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214677340</v>
      </c>
      <c r="C18" t="n">
        <v>5</v>
      </c>
      <c r="D18">
        <f>C18/$H$3</f>
        <v/>
      </c>
      <c r="E18">
        <f>IF($J$3="",IF($B$24&gt;0,B18/$B$24,0),COMBIN($J$3,A18)*$L$3^A18*(1-$L$3)^($J$3-A18))</f>
        <v/>
      </c>
      <c r="F18">
        <f>IF($B$24&gt;0,B18/$B$24,0)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161553663</v>
      </c>
      <c r="C19" t="n">
        <v>31</v>
      </c>
      <c r="D19">
        <f>C19/$H$3</f>
        <v/>
      </c>
      <c r="E19">
        <f>IF($J$3="",IF($B$24&gt;0,B19/$B$24,0),COMBIN($J$3,A19)*$L$3^A19*(1-$L$3)^($J$3-A19))</f>
        <v/>
      </c>
      <c r="F19">
        <f>IF($B$24&gt;0,B19/$B$24,0)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84167915</v>
      </c>
      <c r="C20" t="n">
        <v>206</v>
      </c>
      <c r="D20">
        <f>C20/$H$3</f>
        <v/>
      </c>
      <c r="E20">
        <f>IF($J$3="",IF($B$24&gt;0,B20/$B$24,0),COMBIN($J$3,A20)*$L$3^A20*(1-$L$3)^($J$3-A20))</f>
        <v/>
      </c>
      <c r="F20">
        <f>IF($B$24&gt;0,B20/$B$24,0)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27145659</v>
      </c>
      <c r="C21" t="n">
        <v>1345</v>
      </c>
      <c r="D21">
        <f>C21/$H$3</f>
        <v/>
      </c>
      <c r="E21">
        <f>IF($J$3="",IF($B$24&gt;0,B21/$B$24,0),COMBIN($J$3,A21)*$L$3^A21*(1-$L$3)^($J$3-A21))</f>
        <v/>
      </c>
      <c r="F21">
        <f>IF($B$24&gt;0,B21/$B$24,0)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4080598</v>
      </c>
      <c r="C22" t="n">
        <v>8800</v>
      </c>
      <c r="D22">
        <f>C22/$H$3</f>
        <v/>
      </c>
      <c r="E22">
        <f>IF($J$3="",IF($B$24&gt;0,B22/$B$24,0),COMBIN($J$3,A22)*$L$3^A22*(1-$L$3)^($J$3-A22))</f>
        <v/>
      </c>
      <c r="F22">
        <f>IF($B$24&gt;0,B22/$B$24,0)</f>
        <v/>
      </c>
      <c r="G22">
        <f>E22-F22</f>
        <v/>
      </c>
      <c r="H22">
        <f>D22*E22</f>
        <v/>
      </c>
      <c r="I22">
        <f>I21+E22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MAX(ABS(G7:G22))</f>
        <v/>
      </c>
      <c r="H24">
        <f>SUM(H7:H22)</f>
        <v/>
      </c>
      <c r="I24">
        <f>IF($B$3&gt;0,H24/$B$3,0)</f>
        <v/>
      </c>
      <c r="J24">
        <f>IF($D$3="","N/A",ABS(I24-$D$3)&lt;=$F$3)</f>
        <v/>
      </c>
    </row>
    <row r="25">
      <c r="A25" t="inlineStr">
        <is>
          <t>rtp_drift</t>
        </is>
      </c>
      <c r="B25">
        <f>IF($D$3="","",I24-$D$3)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normal_medium_16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16</v>
      </c>
      <c r="K3" t="inlineStr">
        <is>
          <t>p_right</t>
        </is>
      </c>
      <c r="L3" t="n">
        <v>0.68558416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9</v>
      </c>
      <c r="C7" t="n">
        <v>0</v>
      </c>
      <c r="D7">
        <f>C7/$H$3</f>
        <v/>
      </c>
      <c r="E7">
        <f>IF($J$3="",IF($B$25&gt;0,B7/$B$25,0),COMBIN($J$3,A7)*$L$3^A7*(1-$L$3)^($J$3-A7))</f>
        <v/>
      </c>
      <c r="F7">
        <f>IF($B$25&gt;0,B7/$B$25,0)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318</v>
      </c>
      <c r="C8" t="n">
        <v>0</v>
      </c>
      <c r="D8">
        <f>C8/$H$3</f>
        <v/>
      </c>
      <c r="E8">
        <f>IF($J$3="",IF($B$25&gt;0,B8/$B$25,0),COMBIN($J$3,A8)*$L$3^A8*(1-$L$3)^($J$3-A8))</f>
        <v/>
      </c>
      <c r="F8">
        <f>IF($B$25&gt;0,B8/$B$25,0)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5204</v>
      </c>
      <c r="C9" t="n">
        <v>0</v>
      </c>
      <c r="D9">
        <f>C9/$H$3</f>
        <v/>
      </c>
      <c r="E9">
        <f>IF($J$3="",IF($B$25&gt;0,B9/$B$25,0),COMBIN($J$3,A9)*$L$3^A9*(1-$L$3)^($J$3-A9))</f>
        <v/>
      </c>
      <c r="F9">
        <f>IF($B$25&gt;0,B9/$B$25,0)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52958</v>
      </c>
      <c r="C10" t="n">
        <v>0</v>
      </c>
      <c r="D10">
        <f>C10/$H$3</f>
        <v/>
      </c>
      <c r="E10">
        <f>IF($J$3="",IF($B$25&gt;0,B10/$B$25,0),COMBIN($J$3,A10)*$L$3^A10*(1-$L$3)^($J$3-A10))</f>
        <v/>
      </c>
      <c r="F10">
        <f>IF($B$25&gt;0,B10/$B$25,0)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375290</v>
      </c>
      <c r="C11" t="n">
        <v>0</v>
      </c>
      <c r="D11">
        <f>C11/$H$3</f>
        <v/>
      </c>
      <c r="E11">
        <f>IF($J$3="",IF($B$25&gt;0,B11/$B$25,0),COMBIN($J$3,A11)*$L$3^A11*(1-$L$3)^($J$3-A11))</f>
        <v/>
      </c>
      <c r="F11">
        <f>IF($B$25&gt;0,B11/$B$25,0)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1963971</v>
      </c>
      <c r="C12" t="n">
        <v>0</v>
      </c>
      <c r="D12">
        <f>C12/$H$3</f>
        <v/>
      </c>
      <c r="E12">
        <f>IF($J$3="",IF($B$25&gt;0,B12/$B$25,0),COMBIN($J$3,A12)*$L$3^A12*(1-$L$3)^($J$3-A12))</f>
        <v/>
      </c>
      <c r="F12">
        <f>IF($B$25&gt;0,B12/$B$25,0)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7851143</v>
      </c>
      <c r="C13" t="n">
        <v>0</v>
      </c>
      <c r="D13">
        <f>C13/$H$3</f>
        <v/>
      </c>
      <c r="E13">
        <f>IF($J$3="",IF($B$25&gt;0,B13/$B$25,0),COMBIN($J$3,A13)*$L$3^A13*(1-$L$3)^($J$3-A13))</f>
        <v/>
      </c>
      <c r="F13">
        <f>IF($B$25&gt;0,B13/$B$25,0)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24456326</v>
      </c>
      <c r="C14" t="n">
        <v>0</v>
      </c>
      <c r="D14">
        <f>C14/$H$3</f>
        <v/>
      </c>
      <c r="E14">
        <f>IF($J$3="",IF($B$25&gt;0,B14/$B$25,0),COMBIN($J$3,A14)*$L$3^A14*(1-$L$3)^($J$3-A14))</f>
        <v/>
      </c>
      <c r="F14">
        <f>IF($B$25&gt;0,B14/$B$25,0)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59992933</v>
      </c>
      <c r="C15" t="n">
        <v>0</v>
      </c>
      <c r="D15">
        <f>C15/$H$3</f>
        <v/>
      </c>
      <c r="E15">
        <f>IF($J$3="",IF($B$25&gt;0,B15/$B$25,0),COMBIN($J$3,A15)*$L$3^A15*(1-$L$3)^($J$3-A15))</f>
        <v/>
      </c>
      <c r="F15">
        <f>IF($B$25&gt;0,B15/$B$25,0)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116279706</v>
      </c>
      <c r="C16" t="n">
        <v>0</v>
      </c>
      <c r="D16">
        <f>C16/$H$3</f>
        <v/>
      </c>
      <c r="E16">
        <f>IF($J$3="",IF($B$25&gt;0,B16/$B$25,0),COMBIN($J$3,A16)*$L$3^A16*(1-$L$3)^($J$3-A16))</f>
        <v/>
      </c>
      <c r="F16">
        <f>IF($B$25&gt;0,B16/$B$25,0)</f>
        <v/>
      </c>
      <c r="G16">
        <f>E16-F16</f>
        <v/>
      </c>
      <c r="H16">
        <f>D16*E16</f>
        <v/>
      </c>
      <c r="I16">
        <f>I15+E16</f>
        <v/>
      </c>
    </row>
    <row r="17">
      <c r="A17" t="n">
        <v>10</v>
      </c>
      <c r="B17" t="n">
        <v>177483637</v>
      </c>
      <c r="C17" t="n">
        <v>0</v>
      </c>
      <c r="D17">
        <f>C17/$H$3</f>
        <v/>
      </c>
      <c r="E17">
        <f>IF($J$3="",IF($B$25&gt;0,B17/$B$25,0),COMBIN($J$3,A17)*$L$3^A17*(1-$L$3)^($J$3-A17))</f>
        <v/>
      </c>
      <c r="F17">
        <f>IF($B$25&gt;0,B17/$B$25,0)</f>
        <v/>
      </c>
      <c r="G17">
        <f>E17-F17</f>
        <v/>
      </c>
      <c r="H17">
        <f>D17*E17</f>
        <v/>
      </c>
      <c r="I17">
        <f>I16+E17</f>
        <v/>
      </c>
    </row>
    <row r="18">
      <c r="A18" t="n">
        <v>11</v>
      </c>
      <c r="B18" t="n">
        <v>211092712</v>
      </c>
      <c r="C18" t="n">
        <v>2</v>
      </c>
      <c r="D18">
        <f>C18/$H$3</f>
        <v/>
      </c>
      <c r="E18">
        <f>IF($J$3="",IF($B$25&gt;0,B18/$B$25,0),COMBIN($J$3,A18)*$L$3^A18*(1-$L$3)^($J$3-A18))</f>
        <v/>
      </c>
      <c r="F18">
        <f>IF($B$25&gt;0,B18/$B$25,0)</f>
        <v/>
      </c>
      <c r="G18">
        <f>E18-F18</f>
        <v/>
      </c>
      <c r="H18">
        <f>D18*E18</f>
        <v/>
      </c>
      <c r="I18">
        <f>I17+E18</f>
        <v/>
      </c>
    </row>
    <row r="19">
      <c r="A19" t="n">
        <v>12</v>
      </c>
      <c r="B19" t="n">
        <v>191786641</v>
      </c>
      <c r="C19" t="n">
        <v>13</v>
      </c>
      <c r="D19">
        <f>C19/$H$3</f>
        <v/>
      </c>
      <c r="E19">
        <f>IF($J$3="",IF($B$25&gt;0,B19/$B$25,0),COMBIN($J$3,A19)*$L$3^A19*(1-$L$3)^($J$3-A19))</f>
        <v/>
      </c>
      <c r="F19">
        <f>IF($B$25&gt;0,B19/$B$25,0)</f>
        <v/>
      </c>
      <c r="G19">
        <f>E19-F19</f>
        <v/>
      </c>
      <c r="H19">
        <f>D19*E19</f>
        <v/>
      </c>
      <c r="I19">
        <f>I18+E19</f>
        <v/>
      </c>
    </row>
    <row r="20">
      <c r="A20" t="n">
        <v>13</v>
      </c>
      <c r="B20" t="n">
        <v>128674162</v>
      </c>
      <c r="C20" t="n">
        <v>69</v>
      </c>
      <c r="D20">
        <f>C20/$H$3</f>
        <v/>
      </c>
      <c r="E20">
        <f>IF($J$3="",IF($B$25&gt;0,B20/$B$25,0),COMBIN($J$3,A20)*$L$3^A20*(1-$L$3)^($J$3-A20))</f>
        <v/>
      </c>
      <c r="F20">
        <f>IF($B$25&gt;0,B20/$B$25,0)</f>
        <v/>
      </c>
      <c r="G20">
        <f>E20-F20</f>
        <v/>
      </c>
      <c r="H20">
        <f>D20*E20</f>
        <v/>
      </c>
      <c r="I20">
        <f>I19+E20</f>
        <v/>
      </c>
    </row>
    <row r="21">
      <c r="A21" t="n">
        <v>14</v>
      </c>
      <c r="B21" t="n">
        <v>60123039</v>
      </c>
      <c r="C21" t="n">
        <v>374</v>
      </c>
      <c r="D21">
        <f>C21/$H$3</f>
        <v/>
      </c>
      <c r="E21">
        <f>IF($J$3="",IF($B$25&gt;0,B21/$B$25,0),COMBIN($J$3,A21)*$L$3^A21*(1-$L$3)^($J$3-A21))</f>
        <v/>
      </c>
      <c r="F21">
        <f>IF($B$25&gt;0,B21/$B$25,0)</f>
        <v/>
      </c>
      <c r="G21">
        <f>E21-F21</f>
        <v/>
      </c>
      <c r="H21">
        <f>D21*E21</f>
        <v/>
      </c>
      <c r="I21">
        <f>I20+E21</f>
        <v/>
      </c>
    </row>
    <row r="22">
      <c r="A22" t="n">
        <v>15</v>
      </c>
      <c r="B22" t="n">
        <v>17479782</v>
      </c>
      <c r="C22" t="n">
        <v>2028</v>
      </c>
      <c r="D22">
        <f>C22/$H$3</f>
        <v/>
      </c>
      <c r="E22">
        <f>IF($J$3="",IF($B$25&gt;0,B22/$B$25,0),COMBIN($J$3,A22)*$L$3^A22*(1-$L$3)^($J$3-A22))</f>
        <v/>
      </c>
      <c r="F22">
        <f>IF($B$25&gt;0,B22/$B$25,0)</f>
        <v/>
      </c>
      <c r="G22">
        <f>E22-F22</f>
        <v/>
      </c>
      <c r="H22">
        <f>D22*E22</f>
        <v/>
      </c>
      <c r="I22">
        <f>I21+E22</f>
        <v/>
      </c>
    </row>
    <row r="23">
      <c r="A23" t="n">
        <v>16</v>
      </c>
      <c r="B23" t="n">
        <v>2392917</v>
      </c>
      <c r="C23" t="n">
        <v>11000</v>
      </c>
      <c r="D23">
        <f>C23/$H$3</f>
        <v/>
      </c>
      <c r="E23">
        <f>IF($J$3="",IF($B$25&gt;0,B23/$B$25,0),COMBIN($J$3,A23)*$L$3^A23*(1-$L$3)^($J$3-A23))</f>
        <v/>
      </c>
      <c r="F23">
        <f>IF($B$25&gt;0,B23/$B$25,0)</f>
        <v/>
      </c>
      <c r="G23">
        <f>E23-F23</f>
        <v/>
      </c>
      <c r="H23">
        <f>D23*E23</f>
        <v/>
      </c>
      <c r="I23">
        <f>I22+E23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MAX(ABS(G7:G23))</f>
        <v/>
      </c>
      <c r="H25">
        <f>SUM(H7:H23)</f>
        <v/>
      </c>
      <c r="I25">
        <f>IF($B$3&gt;0,H25/$B$3,0)</f>
        <v/>
      </c>
      <c r="J25">
        <f>IF($D$3="","N/A",ABS(I25-$D$3)&lt;=$F$3)</f>
        <v/>
      </c>
    </row>
    <row r="26">
      <c r="A26" t="inlineStr">
        <is>
          <t>rtp_drift</t>
        </is>
      </c>
      <c r="B26">
        <f>IF($D$3="","",I25-$D$3)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normal_medium_8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8</v>
      </c>
      <c r="K3" t="inlineStr">
        <is>
          <t>p_right</t>
        </is>
      </c>
      <c r="L3" t="n">
        <v>0.71329448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45655</v>
      </c>
      <c r="C7" t="n">
        <v>0</v>
      </c>
      <c r="D7">
        <f>C7/$H$3</f>
        <v/>
      </c>
      <c r="E7">
        <f>IF($J$3="",IF($B$17&gt;0,B7/$B$17,0),COMBIN($J$3,A7)*$L$3^A7*(1-$L$3)^($J$3-A7))</f>
        <v/>
      </c>
      <c r="F7">
        <f>IF($B$17&gt;0,B7/$B$17,0)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908681</v>
      </c>
      <c r="C8" t="n">
        <v>0</v>
      </c>
      <c r="D8">
        <f>C8/$H$3</f>
        <v/>
      </c>
      <c r="E8">
        <f>IF($J$3="",IF($B$17&gt;0,B8/$B$17,0),COMBIN($J$3,A8)*$L$3^A8*(1-$L$3)^($J$3-A8))</f>
        <v/>
      </c>
      <c r="F8">
        <f>IF($B$17&gt;0,B8/$B$17,0)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7912470</v>
      </c>
      <c r="C9" t="n">
        <v>0</v>
      </c>
      <c r="D9">
        <f>C9/$H$3</f>
        <v/>
      </c>
      <c r="E9">
        <f>IF($J$3="",IF($B$17&gt;0,B9/$B$17,0),COMBIN($J$3,A9)*$L$3^A9*(1-$L$3)^($J$3-A9))</f>
        <v/>
      </c>
      <c r="F9">
        <f>IF($B$17&gt;0,B9/$B$17,0)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39370859</v>
      </c>
      <c r="C10" t="n">
        <v>0</v>
      </c>
      <c r="D10">
        <f>C10/$H$3</f>
        <v/>
      </c>
      <c r="E10">
        <f>IF($J$3="",IF($B$17&gt;0,B10/$B$17,0),COMBIN($J$3,A10)*$L$3^A10*(1-$L$3)^($J$3-A10))</f>
        <v/>
      </c>
      <c r="F10">
        <f>IF($B$17&gt;0,B10/$B$17,0)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122438419</v>
      </c>
      <c r="C11" t="n">
        <v>0</v>
      </c>
      <c r="D11">
        <f>C11/$H$3</f>
        <v/>
      </c>
      <c r="E11">
        <f>IF($J$3="",IF($B$17&gt;0,B11/$B$17,0),COMBIN($J$3,A11)*$L$3^A11*(1-$L$3)^($J$3-A11))</f>
        <v/>
      </c>
      <c r="F11">
        <f>IF($B$17&gt;0,B11/$B$17,0)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243691571</v>
      </c>
      <c r="C12" t="n">
        <v>0</v>
      </c>
      <c r="D12">
        <f>C12/$H$3</f>
        <v/>
      </c>
      <c r="E12">
        <f>IF($J$3="",IF($B$17&gt;0,B12/$B$17,0),COMBIN($J$3,A12)*$L$3^A12*(1-$L$3)^($J$3-A12))</f>
        <v/>
      </c>
      <c r="F12">
        <f>IF($B$17&gt;0,B12/$B$17,0)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303140051</v>
      </c>
      <c r="C13" t="n">
        <v>1</v>
      </c>
      <c r="D13">
        <f>C13/$H$3</f>
        <v/>
      </c>
      <c r="E13">
        <f>IF($J$3="",IF($B$17&gt;0,B13/$B$17,0),COMBIN($J$3,A13)*$L$3^A13*(1-$L$3)^($J$3-A13))</f>
        <v/>
      </c>
      <c r="F13">
        <f>IF($B$17&gt;0,B13/$B$17,0)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215480553</v>
      </c>
      <c r="C14" t="n">
        <v>40</v>
      </c>
      <c r="D14">
        <f>C14/$H$3</f>
        <v/>
      </c>
      <c r="E14">
        <f>IF($J$3="",IF($B$17&gt;0,B14/$B$17,0),COMBIN($J$3,A14)*$L$3^A14*(1-$L$3)^($J$3-A14))</f>
        <v/>
      </c>
      <c r="F14">
        <f>IF($B$17&gt;0,B14/$B$17,0)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67022019</v>
      </c>
      <c r="C15" t="n">
        <v>1300</v>
      </c>
      <c r="D15">
        <f>C15/$H$3</f>
        <v/>
      </c>
      <c r="E15">
        <f>IF($J$3="",IF($B$17&gt;0,B15/$B$17,0),COMBIN($J$3,A15)*$L$3^A15*(1-$L$3)^($J$3-A15))</f>
        <v/>
      </c>
      <c r="F15">
        <f>IF($B$17&gt;0,B15/$B$17,0)</f>
        <v/>
      </c>
      <c r="G15">
        <f>E15-F15</f>
        <v/>
      </c>
      <c r="H15">
        <f>D15*E15</f>
        <v/>
      </c>
      <c r="I15">
        <f>I14+E15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MAX(ABS(G7:G15))</f>
        <v/>
      </c>
      <c r="H17">
        <f>SUM(H7:H15)</f>
        <v/>
      </c>
      <c r="I17">
        <f>IF($B$3&gt;0,H17/$B$3,0)</f>
        <v/>
      </c>
      <c r="J17">
        <f>IF($D$3="","N/A",ABS(I17-$D$3)&lt;=$F$3)</f>
        <v/>
      </c>
    </row>
    <row r="18">
      <c r="A18" t="inlineStr">
        <is>
          <t>rtp_drift</t>
        </is>
      </c>
      <c r="B18">
        <f>IF($D$3="","",I17-$D$3)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2" customWidth="1" min="6" max="6"/>
    <col width="18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normal_medium_9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  <c r="I3" t="inlineStr">
        <is>
          <t>Rows (N)</t>
        </is>
      </c>
      <c r="J3" t="n">
        <v>9</v>
      </c>
      <c r="K3" t="inlineStr">
        <is>
          <t>p_right</t>
        </is>
      </c>
      <c r="L3" t="n">
        <v>0.7141233299999999</v>
      </c>
      <c r="M3" t="inlineStr">
        <is>
          <t>p_left</t>
        </is>
      </c>
      <c r="N3">
        <f>IF(L3="","",1-L3)</f>
        <v/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probability_binomial_exact</t>
        </is>
      </c>
      <c r="F6" s="6" t="inlineStr">
        <is>
          <t>probability_from_weight</t>
        </is>
      </c>
      <c r="G6" s="6" t="inlineStr">
        <is>
          <t>probability_diff</t>
        </is>
      </c>
      <c r="H6" s="6" t="inlineStr">
        <is>
          <t>weighted_payout</t>
        </is>
      </c>
      <c r="I6" s="6" t="inlineStr">
        <is>
          <t>cumulative_probability</t>
        </is>
      </c>
    </row>
    <row r="7">
      <c r="A7" t="n">
        <v>0</v>
      </c>
      <c r="B7" t="n">
        <v>12753</v>
      </c>
      <c r="C7" t="n">
        <v>0</v>
      </c>
      <c r="D7">
        <f>C7/$H$3</f>
        <v/>
      </c>
      <c r="E7">
        <f>IF($J$3="",IF($B$18&gt;0,B7/$B$18,0),COMBIN($J$3,A7)*$L$3^A7*(1-$L$3)^($J$3-A7))</f>
        <v/>
      </c>
      <c r="F7">
        <f>IF($B$18&gt;0,B7/$B$18,0)</f>
        <v/>
      </c>
      <c r="G7">
        <f>E7-F7</f>
        <v/>
      </c>
      <c r="H7">
        <f>D7*E7</f>
        <v/>
      </c>
      <c r="I7">
        <f>E7</f>
        <v/>
      </c>
    </row>
    <row r="8">
      <c r="A8" t="n">
        <v>1</v>
      </c>
      <c r="B8" t="n">
        <v>286712</v>
      </c>
      <c r="C8" t="n">
        <v>0</v>
      </c>
      <c r="D8">
        <f>C8/$H$3</f>
        <v/>
      </c>
      <c r="E8">
        <f>IF($J$3="",IF($B$18&gt;0,B8/$B$18,0),COMBIN($J$3,A8)*$L$3^A8*(1-$L$3)^($J$3-A8))</f>
        <v/>
      </c>
      <c r="F8">
        <f>IF($B$18&gt;0,B8/$B$18,0)</f>
        <v/>
      </c>
      <c r="G8">
        <f>E8-F8</f>
        <v/>
      </c>
      <c r="H8">
        <f>D8*E8</f>
        <v/>
      </c>
      <c r="I8">
        <f>I7+E8</f>
        <v/>
      </c>
    </row>
    <row r="9">
      <c r="A9" t="n">
        <v>2</v>
      </c>
      <c r="B9" t="n">
        <v>2864837</v>
      </c>
      <c r="C9" t="n">
        <v>0</v>
      </c>
      <c r="D9">
        <f>C9/$H$3</f>
        <v/>
      </c>
      <c r="E9">
        <f>IF($J$3="",IF($B$18&gt;0,B9/$B$18,0),COMBIN($J$3,A9)*$L$3^A9*(1-$L$3)^($J$3-A9))</f>
        <v/>
      </c>
      <c r="F9">
        <f>IF($B$18&gt;0,B9/$B$18,0)</f>
        <v/>
      </c>
      <c r="G9">
        <f>E9-F9</f>
        <v/>
      </c>
      <c r="H9">
        <f>D9*E9</f>
        <v/>
      </c>
      <c r="I9">
        <f>I8+E9</f>
        <v/>
      </c>
    </row>
    <row r="10">
      <c r="A10" t="n">
        <v>3</v>
      </c>
      <c r="B10" t="n">
        <v>16698260</v>
      </c>
      <c r="C10" t="n">
        <v>0</v>
      </c>
      <c r="D10">
        <f>C10/$H$3</f>
        <v/>
      </c>
      <c r="E10">
        <f>IF($J$3="",IF($B$18&gt;0,B10/$B$18,0),COMBIN($J$3,A10)*$L$3^A10*(1-$L$3)^($J$3-A10))</f>
        <v/>
      </c>
      <c r="F10">
        <f>IF($B$18&gt;0,B10/$B$18,0)</f>
        <v/>
      </c>
      <c r="G10">
        <f>E10-F10</f>
        <v/>
      </c>
      <c r="H10">
        <f>D10*E10</f>
        <v/>
      </c>
      <c r="I10">
        <f>I9+E10</f>
        <v/>
      </c>
    </row>
    <row r="11">
      <c r="A11" t="n">
        <v>4</v>
      </c>
      <c r="B11" t="n">
        <v>62568680</v>
      </c>
      <c r="C11" t="n">
        <v>0</v>
      </c>
      <c r="D11">
        <f>C11/$H$3</f>
        <v/>
      </c>
      <c r="E11">
        <f>IF($J$3="",IF($B$18&gt;0,B11/$B$18,0),COMBIN($J$3,A11)*$L$3^A11*(1-$L$3)^($J$3-A11))</f>
        <v/>
      </c>
      <c r="F11">
        <f>IF($B$18&gt;0,B11/$B$18,0)</f>
        <v/>
      </c>
      <c r="G11">
        <f>E11-F11</f>
        <v/>
      </c>
      <c r="H11">
        <f>D11*E11</f>
        <v/>
      </c>
      <c r="I11">
        <f>I10+E11</f>
        <v/>
      </c>
    </row>
    <row r="12">
      <c r="A12" t="n">
        <v>5</v>
      </c>
      <c r="B12" t="n">
        <v>156297311</v>
      </c>
      <c r="C12" t="n">
        <v>0</v>
      </c>
      <c r="D12">
        <f>C12/$H$3</f>
        <v/>
      </c>
      <c r="E12">
        <f>IF($J$3="",IF($B$18&gt;0,B12/$B$18,0),COMBIN($J$3,A12)*$L$3^A12*(1-$L$3)^($J$3-A12))</f>
        <v/>
      </c>
      <c r="F12">
        <f>IF($B$18&gt;0,B12/$B$18,0)</f>
        <v/>
      </c>
      <c r="G12">
        <f>E12-F12</f>
        <v/>
      </c>
      <c r="H12">
        <f>D12*E12</f>
        <v/>
      </c>
      <c r="I12">
        <f>I11+E12</f>
        <v/>
      </c>
    </row>
    <row r="13">
      <c r="A13" t="n">
        <v>6</v>
      </c>
      <c r="B13" t="n">
        <v>260288366</v>
      </c>
      <c r="C13" t="n">
        <v>0</v>
      </c>
      <c r="D13">
        <f>C13/$H$3</f>
        <v/>
      </c>
      <c r="E13">
        <f>IF($J$3="",IF($B$18&gt;0,B13/$B$18,0),COMBIN($J$3,A13)*$L$3^A13*(1-$L$3)^($J$3-A13))</f>
        <v/>
      </c>
      <c r="F13">
        <f>IF($B$18&gt;0,B13/$B$18,0)</f>
        <v/>
      </c>
      <c r="G13">
        <f>E13-F13</f>
        <v/>
      </c>
      <c r="H13">
        <f>D13*E13</f>
        <v/>
      </c>
      <c r="I13">
        <f>I12+E13</f>
        <v/>
      </c>
    </row>
    <row r="14">
      <c r="A14" t="n">
        <v>7</v>
      </c>
      <c r="B14" t="n">
        <v>278658620</v>
      </c>
      <c r="C14" t="n">
        <v>1</v>
      </c>
      <c r="D14">
        <f>C14/$H$3</f>
        <v/>
      </c>
      <c r="E14">
        <f>IF($J$3="",IF($B$18&gt;0,B14/$B$18,0),COMBIN($J$3,A14)*$L$3^A14*(1-$L$3)^($J$3-A14))</f>
        <v/>
      </c>
      <c r="F14">
        <f>IF($B$18&gt;0,B14/$B$18,0)</f>
        <v/>
      </c>
      <c r="G14">
        <f>E14-F14</f>
        <v/>
      </c>
      <c r="H14">
        <f>D14*E14</f>
        <v/>
      </c>
      <c r="I14">
        <f>I13+E14</f>
        <v/>
      </c>
    </row>
    <row r="15">
      <c r="A15" t="n">
        <v>8</v>
      </c>
      <c r="B15" t="n">
        <v>174023141</v>
      </c>
      <c r="C15" t="n">
        <v>50</v>
      </c>
      <c r="D15">
        <f>C15/$H$3</f>
        <v/>
      </c>
      <c r="E15">
        <f>IF($J$3="",IF($B$18&gt;0,B15/$B$18,0),COMBIN($J$3,A15)*$L$3^A15*(1-$L$3)^($J$3-A15))</f>
        <v/>
      </c>
      <c r="F15">
        <f>IF($B$18&gt;0,B15/$B$18,0)</f>
        <v/>
      </c>
      <c r="G15">
        <f>E15-F15</f>
        <v/>
      </c>
      <c r="H15">
        <f>D15*E15</f>
        <v/>
      </c>
      <c r="I15">
        <f>I14+E15</f>
        <v/>
      </c>
    </row>
    <row r="16">
      <c r="A16" t="n">
        <v>9</v>
      </c>
      <c r="B16" t="n">
        <v>48376327</v>
      </c>
      <c r="C16" t="n">
        <v>1800</v>
      </c>
      <c r="D16">
        <f>C16/$H$3</f>
        <v/>
      </c>
      <c r="E16">
        <f>IF($J$3="",IF($B$18&gt;0,B16/$B$18,0),COMBIN($J$3,A16)*$L$3^A16*(1-$L$3)^($J$3-A16))</f>
        <v/>
      </c>
      <c r="F16">
        <f>IF($B$18&gt;0,B16/$B$18,0)</f>
        <v/>
      </c>
      <c r="G16">
        <f>E16-F16</f>
        <v/>
      </c>
      <c r="H16">
        <f>D16*E16</f>
        <v/>
      </c>
      <c r="I16">
        <f>I15+E16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MAX(ABS(G7:G16))</f>
        <v/>
      </c>
      <c r="H18">
        <f>SUM(H7:H16)</f>
        <v/>
      </c>
      <c r="I18">
        <f>IF($B$3&gt;0,H18/$B$3,0)</f>
        <v/>
      </c>
      <c r="J18">
        <f>IF($D$3="","N/A",ABS(I18-$D$3)&lt;=$F$3)</f>
        <v/>
      </c>
    </row>
    <row r="19">
      <c r="A19" t="inlineStr">
        <is>
          <t>rtp_drift</t>
        </is>
      </c>
      <c r="B19">
        <f>IF($D$3="","",I18-$D$3)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9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24" customWidth="1" min="4" max="4"/>
    <col width="18" customWidth="1" min="5" max="5"/>
    <col width="24" customWidth="1" min="6" max="6"/>
    <col width="18" customWidth="1" min="7" max="7"/>
  </cols>
  <sheetData>
    <row r="1">
      <c r="A1" s="1" t="inlineStr">
        <is>
          <t>Binomial Probability Vectors</t>
        </is>
      </c>
    </row>
    <row r="2">
      <c r="A2" s="2" t="inlineStr">
        <is>
          <t>Exact p(k)=C(N,k)/2^N for each mode</t>
        </is>
      </c>
    </row>
    <row r="4">
      <c r="A4" s="3" t="inlineStr">
        <is>
          <t>Per-Mode p0..pN</t>
        </is>
      </c>
    </row>
    <row r="5">
      <c r="A5" s="6" t="inlineStr">
        <is>
          <t>Mode</t>
        </is>
      </c>
      <c r="B5" s="6" t="inlineStr">
        <is>
          <t>N (rows)</t>
        </is>
      </c>
      <c r="C5" s="6" t="inlineStr">
        <is>
          <t>p_right</t>
        </is>
      </c>
      <c r="D5" s="6" t="inlineStr">
        <is>
          <t>k</t>
        </is>
      </c>
      <c r="E5" s="6" t="inlineStr">
        <is>
          <t>p(k) formula</t>
        </is>
      </c>
      <c r="F5" s="6" t="inlineStr">
        <is>
          <t>p(k) value</t>
        </is>
      </c>
      <c r="G5" s="6" t="inlineStr">
        <is>
          <t>cumulative p(k)</t>
        </is>
      </c>
      <c r="H5" s="6" t="inlineStr">
        <is>
          <t>mode probability sum</t>
        </is>
      </c>
    </row>
    <row r="6">
      <c r="A6" t="inlineStr">
        <is>
          <t>buy100_expert_10</t>
        </is>
      </c>
      <c r="B6" t="n">
        <v>10</v>
      </c>
      <c r="C6" t="n">
        <v>0.49353346</v>
      </c>
      <c r="D6" t="n">
        <v>0</v>
      </c>
      <c r="E6">
        <f>"COMBIN("&amp;B6&amp;","&amp;D6&amp;")*"&amp;C6&amp;"^"&amp;D6&amp;"*(1-"&amp;C6&amp;")^("&amp;B6&amp;"-"&amp;D6&amp;")</f>
        <v/>
      </c>
      <c r="F6">
        <f>COMBIN(B6,D6)*C6^D6*(1-C6)^(B6-D6)</f>
        <v/>
      </c>
      <c r="G6">
        <f>F6</f>
        <v/>
      </c>
      <c r="H6">
        <f>SUM(F6:F16)</f>
        <v/>
      </c>
    </row>
    <row r="7">
      <c r="A7" t="inlineStr">
        <is>
          <t>buy100_expert_10</t>
        </is>
      </c>
      <c r="B7" t="n">
        <v>10</v>
      </c>
      <c r="C7" t="n">
        <v>0.49353346</v>
      </c>
      <c r="D7" t="n">
        <v>1</v>
      </c>
      <c r="E7">
        <f>"COMBIN("&amp;B7&amp;","&amp;D7&amp;")*"&amp;C7&amp;"^"&amp;D7&amp;"*(1-"&amp;C7&amp;")^("&amp;B7&amp;"-"&amp;D7&amp;")</f>
        <v/>
      </c>
      <c r="F7">
        <f>COMBIN(B7,D7)*C7^D7*(1-C7)^(B7-D7)</f>
        <v/>
      </c>
      <c r="G7">
        <f>G6+F7</f>
        <v/>
      </c>
    </row>
    <row r="8">
      <c r="A8" t="inlineStr">
        <is>
          <t>buy100_expert_10</t>
        </is>
      </c>
      <c r="B8" t="n">
        <v>10</v>
      </c>
      <c r="C8" t="n">
        <v>0.49353346</v>
      </c>
      <c r="D8" t="n">
        <v>2</v>
      </c>
      <c r="E8">
        <f>"COMBIN("&amp;B8&amp;","&amp;D8&amp;")*"&amp;C8&amp;"^"&amp;D8&amp;"*(1-"&amp;C8&amp;")^("&amp;B8&amp;"-"&amp;D8&amp;")</f>
        <v/>
      </c>
      <c r="F8">
        <f>COMBIN(B8,D8)*C8^D8*(1-C8)^(B8-D8)</f>
        <v/>
      </c>
      <c r="G8">
        <f>G7+F8</f>
        <v/>
      </c>
    </row>
    <row r="9">
      <c r="A9" t="inlineStr">
        <is>
          <t>buy100_expert_10</t>
        </is>
      </c>
      <c r="B9" t="n">
        <v>10</v>
      </c>
      <c r="C9" t="n">
        <v>0.49353346</v>
      </c>
      <c r="D9" t="n">
        <v>3</v>
      </c>
      <c r="E9">
        <f>"COMBIN("&amp;B9&amp;","&amp;D9&amp;")*"&amp;C9&amp;"^"&amp;D9&amp;"*(1-"&amp;C9&amp;")^("&amp;B9&amp;"-"&amp;D9&amp;")</f>
        <v/>
      </c>
      <c r="F9">
        <f>COMBIN(B9,D9)*C9^D9*(1-C9)^(B9-D9)</f>
        <v/>
      </c>
      <c r="G9">
        <f>G8+F9</f>
        <v/>
      </c>
    </row>
    <row r="10">
      <c r="A10" t="inlineStr">
        <is>
          <t>buy100_expert_10</t>
        </is>
      </c>
      <c r="B10" t="n">
        <v>10</v>
      </c>
      <c r="C10" t="n">
        <v>0.49353346</v>
      </c>
      <c r="D10" t="n">
        <v>4</v>
      </c>
      <c r="E10">
        <f>"COMBIN("&amp;B10&amp;","&amp;D10&amp;")*"&amp;C10&amp;"^"&amp;D10&amp;"*(1-"&amp;C10&amp;")^("&amp;B10&amp;"-"&amp;D10&amp;")</f>
        <v/>
      </c>
      <c r="F10">
        <f>COMBIN(B10,D10)*C10^D10*(1-C10)^(B10-D10)</f>
        <v/>
      </c>
      <c r="G10">
        <f>G9+F10</f>
        <v/>
      </c>
    </row>
    <row r="11">
      <c r="A11" t="inlineStr">
        <is>
          <t>buy100_expert_10</t>
        </is>
      </c>
      <c r="B11" t="n">
        <v>10</v>
      </c>
      <c r="C11" t="n">
        <v>0.49353346</v>
      </c>
      <c r="D11" t="n">
        <v>5</v>
      </c>
      <c r="E11">
        <f>"COMBIN("&amp;B11&amp;","&amp;D11&amp;")*"&amp;C11&amp;"^"&amp;D11&amp;"*(1-"&amp;C11&amp;")^("&amp;B11&amp;"-"&amp;D11&amp;")</f>
        <v/>
      </c>
      <c r="F11">
        <f>COMBIN(B11,D11)*C11^D11*(1-C11)^(B11-D11)</f>
        <v/>
      </c>
      <c r="G11">
        <f>G10+F11</f>
        <v/>
      </c>
    </row>
    <row r="12">
      <c r="A12" t="inlineStr">
        <is>
          <t>buy100_expert_10</t>
        </is>
      </c>
      <c r="B12" t="n">
        <v>10</v>
      </c>
      <c r="C12" t="n">
        <v>0.49353346</v>
      </c>
      <c r="D12" t="n">
        <v>6</v>
      </c>
      <c r="E12">
        <f>"COMBIN("&amp;B12&amp;","&amp;D12&amp;")*"&amp;C12&amp;"^"&amp;D12&amp;"*(1-"&amp;C12&amp;")^("&amp;B12&amp;"-"&amp;D12&amp;")</f>
        <v/>
      </c>
      <c r="F12">
        <f>COMBIN(B12,D12)*C12^D12*(1-C12)^(B12-D12)</f>
        <v/>
      </c>
      <c r="G12">
        <f>G11+F12</f>
        <v/>
      </c>
    </row>
    <row r="13">
      <c r="A13" t="inlineStr">
        <is>
          <t>buy100_expert_10</t>
        </is>
      </c>
      <c r="B13" t="n">
        <v>10</v>
      </c>
      <c r="C13" t="n">
        <v>0.49353346</v>
      </c>
      <c r="D13" t="n">
        <v>7</v>
      </c>
      <c r="E13">
        <f>"COMBIN("&amp;B13&amp;","&amp;D13&amp;")*"&amp;C13&amp;"^"&amp;D13&amp;"*(1-"&amp;C13&amp;")^("&amp;B13&amp;"-"&amp;D13&amp;")</f>
        <v/>
      </c>
      <c r="F13">
        <f>COMBIN(B13,D13)*C13^D13*(1-C13)^(B13-D13)</f>
        <v/>
      </c>
      <c r="G13">
        <f>G12+F13</f>
        <v/>
      </c>
    </row>
    <row r="14">
      <c r="A14" t="inlineStr">
        <is>
          <t>buy100_expert_10</t>
        </is>
      </c>
      <c r="B14" t="n">
        <v>10</v>
      </c>
      <c r="C14" t="n">
        <v>0.49353346</v>
      </c>
      <c r="D14" t="n">
        <v>8</v>
      </c>
      <c r="E14">
        <f>"COMBIN("&amp;B14&amp;","&amp;D14&amp;")*"&amp;C14&amp;"^"&amp;D14&amp;"*(1-"&amp;C14&amp;")^("&amp;B14&amp;"-"&amp;D14&amp;")</f>
        <v/>
      </c>
      <c r="F14">
        <f>COMBIN(B14,D14)*C14^D14*(1-C14)^(B14-D14)</f>
        <v/>
      </c>
      <c r="G14">
        <f>G13+F14</f>
        <v/>
      </c>
    </row>
    <row r="15">
      <c r="A15" t="inlineStr">
        <is>
          <t>buy100_expert_10</t>
        </is>
      </c>
      <c r="B15" t="n">
        <v>10</v>
      </c>
      <c r="C15" t="n">
        <v>0.49353346</v>
      </c>
      <c r="D15" t="n">
        <v>9</v>
      </c>
      <c r="E15">
        <f>"COMBIN("&amp;B15&amp;","&amp;D15&amp;")*"&amp;C15&amp;"^"&amp;D15&amp;"*(1-"&amp;C15&amp;")^("&amp;B15&amp;"-"&amp;D15&amp;")</f>
        <v/>
      </c>
      <c r="F15">
        <f>COMBIN(B15,D15)*C15^D15*(1-C15)^(B15-D15)</f>
        <v/>
      </c>
      <c r="G15">
        <f>G14+F15</f>
        <v/>
      </c>
    </row>
    <row r="16">
      <c r="A16" t="inlineStr">
        <is>
          <t>buy100_expert_10</t>
        </is>
      </c>
      <c r="B16" t="n">
        <v>10</v>
      </c>
      <c r="C16" t="n">
        <v>0.49353346</v>
      </c>
      <c r="D16" t="n">
        <v>10</v>
      </c>
      <c r="E16">
        <f>"COMBIN("&amp;B16&amp;","&amp;D16&amp;")*"&amp;C16&amp;"^"&amp;D16&amp;"*(1-"&amp;C16&amp;")^("&amp;B16&amp;"-"&amp;D16&amp;")</f>
        <v/>
      </c>
      <c r="F16">
        <f>COMBIN(B16,D16)*C16^D16*(1-C16)^(B16-D16)</f>
        <v/>
      </c>
      <c r="G16">
        <f>G15+F16</f>
        <v/>
      </c>
    </row>
    <row r="17">
      <c r="A17" t="inlineStr">
        <is>
          <t>buy100_expert_11</t>
        </is>
      </c>
      <c r="B17" t="n">
        <v>11</v>
      </c>
      <c r="C17" t="n">
        <v>0.5262539899999999</v>
      </c>
      <c r="D17" t="n">
        <v>0</v>
      </c>
      <c r="E17">
        <f>"COMBIN("&amp;B17&amp;","&amp;D17&amp;")*"&amp;C17&amp;"^"&amp;D17&amp;"*(1-"&amp;C17&amp;")^("&amp;B17&amp;"-"&amp;D17&amp;")</f>
        <v/>
      </c>
      <c r="F17">
        <f>COMBIN(B17,D17)*C17^D17*(1-C17)^(B17-D17)</f>
        <v/>
      </c>
      <c r="G17">
        <f>F17</f>
        <v/>
      </c>
      <c r="H17">
        <f>SUM(F17:F28)</f>
        <v/>
      </c>
    </row>
    <row r="18">
      <c r="A18" t="inlineStr">
        <is>
          <t>buy100_expert_11</t>
        </is>
      </c>
      <c r="B18" t="n">
        <v>11</v>
      </c>
      <c r="C18" t="n">
        <v>0.5262539899999999</v>
      </c>
      <c r="D18" t="n">
        <v>1</v>
      </c>
      <c r="E18">
        <f>"COMBIN("&amp;B18&amp;","&amp;D18&amp;")*"&amp;C18&amp;"^"&amp;D18&amp;"*(1-"&amp;C18&amp;")^("&amp;B18&amp;"-"&amp;D18&amp;")</f>
        <v/>
      </c>
      <c r="F18">
        <f>COMBIN(B18,D18)*C18^D18*(1-C18)^(B18-D18)</f>
        <v/>
      </c>
      <c r="G18">
        <f>G17+F18</f>
        <v/>
      </c>
    </row>
    <row r="19">
      <c r="A19" t="inlineStr">
        <is>
          <t>buy100_expert_11</t>
        </is>
      </c>
      <c r="B19" t="n">
        <v>11</v>
      </c>
      <c r="C19" t="n">
        <v>0.5262539899999999</v>
      </c>
      <c r="D19" t="n">
        <v>2</v>
      </c>
      <c r="E19">
        <f>"COMBIN("&amp;B19&amp;","&amp;D19&amp;")*"&amp;C19&amp;"^"&amp;D19&amp;"*(1-"&amp;C19&amp;")^("&amp;B19&amp;"-"&amp;D19&amp;")</f>
        <v/>
      </c>
      <c r="F19">
        <f>COMBIN(B19,D19)*C19^D19*(1-C19)^(B19-D19)</f>
        <v/>
      </c>
      <c r="G19">
        <f>G18+F19</f>
        <v/>
      </c>
    </row>
    <row r="20">
      <c r="A20" t="inlineStr">
        <is>
          <t>buy100_expert_11</t>
        </is>
      </c>
      <c r="B20" t="n">
        <v>11</v>
      </c>
      <c r="C20" t="n">
        <v>0.5262539899999999</v>
      </c>
      <c r="D20" t="n">
        <v>3</v>
      </c>
      <c r="E20">
        <f>"COMBIN("&amp;B20&amp;","&amp;D20&amp;")*"&amp;C20&amp;"^"&amp;D20&amp;"*(1-"&amp;C20&amp;")^("&amp;B20&amp;"-"&amp;D20&amp;")</f>
        <v/>
      </c>
      <c r="F20">
        <f>COMBIN(B20,D20)*C20^D20*(1-C20)^(B20-D20)</f>
        <v/>
      </c>
      <c r="G20">
        <f>G19+F20</f>
        <v/>
      </c>
    </row>
    <row r="21">
      <c r="A21" t="inlineStr">
        <is>
          <t>buy100_expert_11</t>
        </is>
      </c>
      <c r="B21" t="n">
        <v>11</v>
      </c>
      <c r="C21" t="n">
        <v>0.5262539899999999</v>
      </c>
      <c r="D21" t="n">
        <v>4</v>
      </c>
      <c r="E21">
        <f>"COMBIN("&amp;B21&amp;","&amp;D21&amp;")*"&amp;C21&amp;"^"&amp;D21&amp;"*(1-"&amp;C21&amp;")^("&amp;B21&amp;"-"&amp;D21&amp;")</f>
        <v/>
      </c>
      <c r="F21">
        <f>COMBIN(B21,D21)*C21^D21*(1-C21)^(B21-D21)</f>
        <v/>
      </c>
      <c r="G21">
        <f>G20+F21</f>
        <v/>
      </c>
    </row>
    <row r="22">
      <c r="A22" t="inlineStr">
        <is>
          <t>buy100_expert_11</t>
        </is>
      </c>
      <c r="B22" t="n">
        <v>11</v>
      </c>
      <c r="C22" t="n">
        <v>0.5262539899999999</v>
      </c>
      <c r="D22" t="n">
        <v>5</v>
      </c>
      <c r="E22">
        <f>"COMBIN("&amp;B22&amp;","&amp;D22&amp;")*"&amp;C22&amp;"^"&amp;D22&amp;"*(1-"&amp;C22&amp;")^("&amp;B22&amp;"-"&amp;D22&amp;")</f>
        <v/>
      </c>
      <c r="F22">
        <f>COMBIN(B22,D22)*C22^D22*(1-C22)^(B22-D22)</f>
        <v/>
      </c>
      <c r="G22">
        <f>G21+F22</f>
        <v/>
      </c>
    </row>
    <row r="23">
      <c r="A23" t="inlineStr">
        <is>
          <t>buy100_expert_11</t>
        </is>
      </c>
      <c r="B23" t="n">
        <v>11</v>
      </c>
      <c r="C23" t="n">
        <v>0.5262539899999999</v>
      </c>
      <c r="D23" t="n">
        <v>6</v>
      </c>
      <c r="E23">
        <f>"COMBIN("&amp;B23&amp;","&amp;D23&amp;")*"&amp;C23&amp;"^"&amp;D23&amp;"*(1-"&amp;C23&amp;")^("&amp;B23&amp;"-"&amp;D23&amp;")</f>
        <v/>
      </c>
      <c r="F23">
        <f>COMBIN(B23,D23)*C23^D23*(1-C23)^(B23-D23)</f>
        <v/>
      </c>
      <c r="G23">
        <f>G22+F23</f>
        <v/>
      </c>
    </row>
    <row r="24">
      <c r="A24" t="inlineStr">
        <is>
          <t>buy100_expert_11</t>
        </is>
      </c>
      <c r="B24" t="n">
        <v>11</v>
      </c>
      <c r="C24" t="n">
        <v>0.5262539899999999</v>
      </c>
      <c r="D24" t="n">
        <v>7</v>
      </c>
      <c r="E24">
        <f>"COMBIN("&amp;B24&amp;","&amp;D24&amp;")*"&amp;C24&amp;"^"&amp;D24&amp;"*(1-"&amp;C24&amp;")^("&amp;B24&amp;"-"&amp;D24&amp;")</f>
        <v/>
      </c>
      <c r="F24">
        <f>COMBIN(B24,D24)*C24^D24*(1-C24)^(B24-D24)</f>
        <v/>
      </c>
      <c r="G24">
        <f>G23+F24</f>
        <v/>
      </c>
    </row>
    <row r="25">
      <c r="A25" t="inlineStr">
        <is>
          <t>buy100_expert_11</t>
        </is>
      </c>
      <c r="B25" t="n">
        <v>11</v>
      </c>
      <c r="C25" t="n">
        <v>0.5262539899999999</v>
      </c>
      <c r="D25" t="n">
        <v>8</v>
      </c>
      <c r="E25">
        <f>"COMBIN("&amp;B25&amp;","&amp;D25&amp;")*"&amp;C25&amp;"^"&amp;D25&amp;"*(1-"&amp;C25&amp;")^("&amp;B25&amp;"-"&amp;D25&amp;")</f>
        <v/>
      </c>
      <c r="F25">
        <f>COMBIN(B25,D25)*C25^D25*(1-C25)^(B25-D25)</f>
        <v/>
      </c>
      <c r="G25">
        <f>G24+F25</f>
        <v/>
      </c>
    </row>
    <row r="26">
      <c r="A26" t="inlineStr">
        <is>
          <t>buy100_expert_11</t>
        </is>
      </c>
      <c r="B26" t="n">
        <v>11</v>
      </c>
      <c r="C26" t="n">
        <v>0.5262539899999999</v>
      </c>
      <c r="D26" t="n">
        <v>9</v>
      </c>
      <c r="E26">
        <f>"COMBIN("&amp;B26&amp;","&amp;D26&amp;")*"&amp;C26&amp;"^"&amp;D26&amp;"*(1-"&amp;C26&amp;")^("&amp;B26&amp;"-"&amp;D26&amp;")</f>
        <v/>
      </c>
      <c r="F26">
        <f>COMBIN(B26,D26)*C26^D26*(1-C26)^(B26-D26)</f>
        <v/>
      </c>
      <c r="G26">
        <f>G25+F26</f>
        <v/>
      </c>
    </row>
    <row r="27">
      <c r="A27" t="inlineStr">
        <is>
          <t>buy100_expert_11</t>
        </is>
      </c>
      <c r="B27" t="n">
        <v>11</v>
      </c>
      <c r="C27" t="n">
        <v>0.5262539899999999</v>
      </c>
      <c r="D27" t="n">
        <v>10</v>
      </c>
      <c r="E27">
        <f>"COMBIN("&amp;B27&amp;","&amp;D27&amp;")*"&amp;C27&amp;"^"&amp;D27&amp;"*(1-"&amp;C27&amp;")^("&amp;B27&amp;"-"&amp;D27&amp;")</f>
        <v/>
      </c>
      <c r="F27">
        <f>COMBIN(B27,D27)*C27^D27*(1-C27)^(B27-D27)</f>
        <v/>
      </c>
      <c r="G27">
        <f>G26+F27</f>
        <v/>
      </c>
    </row>
    <row r="28">
      <c r="A28" t="inlineStr">
        <is>
          <t>buy100_expert_11</t>
        </is>
      </c>
      <c r="B28" t="n">
        <v>11</v>
      </c>
      <c r="C28" t="n">
        <v>0.5262539899999999</v>
      </c>
      <c r="D28" t="n">
        <v>11</v>
      </c>
      <c r="E28">
        <f>"COMBIN("&amp;B28&amp;","&amp;D28&amp;")*"&amp;C28&amp;"^"&amp;D28&amp;"*(1-"&amp;C28&amp;")^("&amp;B28&amp;"-"&amp;D28&amp;")</f>
        <v/>
      </c>
      <c r="F28">
        <f>COMBIN(B28,D28)*C28^D28*(1-C28)^(B28-D28)</f>
        <v/>
      </c>
      <c r="G28">
        <f>G27+F28</f>
        <v/>
      </c>
    </row>
    <row r="29">
      <c r="A29" t="inlineStr">
        <is>
          <t>buy100_expert_12</t>
        </is>
      </c>
      <c r="B29" t="n">
        <v>12</v>
      </c>
      <c r="C29" t="n">
        <v>0.5551725</v>
      </c>
      <c r="D29" t="n">
        <v>0</v>
      </c>
      <c r="E29">
        <f>"COMBIN("&amp;B29&amp;","&amp;D29&amp;")*"&amp;C29&amp;"^"&amp;D29&amp;"*(1-"&amp;C29&amp;")^("&amp;B29&amp;"-"&amp;D29&amp;")</f>
        <v/>
      </c>
      <c r="F29">
        <f>COMBIN(B29,D29)*C29^D29*(1-C29)^(B29-D29)</f>
        <v/>
      </c>
      <c r="G29">
        <f>F29</f>
        <v/>
      </c>
      <c r="H29">
        <f>SUM(F29:F41)</f>
        <v/>
      </c>
    </row>
    <row r="30">
      <c r="A30" t="inlineStr">
        <is>
          <t>buy100_expert_12</t>
        </is>
      </c>
      <c r="B30" t="n">
        <v>12</v>
      </c>
      <c r="C30" t="n">
        <v>0.5551725</v>
      </c>
      <c r="D30" t="n">
        <v>1</v>
      </c>
      <c r="E30">
        <f>"COMBIN("&amp;B30&amp;","&amp;D30&amp;")*"&amp;C30&amp;"^"&amp;D30&amp;"*(1-"&amp;C30&amp;")^("&amp;B30&amp;"-"&amp;D30&amp;")</f>
        <v/>
      </c>
      <c r="F30">
        <f>COMBIN(B30,D30)*C30^D30*(1-C30)^(B30-D30)</f>
        <v/>
      </c>
      <c r="G30">
        <f>G29+F30</f>
        <v/>
      </c>
    </row>
    <row r="31">
      <c r="A31" t="inlineStr">
        <is>
          <t>buy100_expert_12</t>
        </is>
      </c>
      <c r="B31" t="n">
        <v>12</v>
      </c>
      <c r="C31" t="n">
        <v>0.5551725</v>
      </c>
      <c r="D31" t="n">
        <v>2</v>
      </c>
      <c r="E31">
        <f>"COMBIN("&amp;B31&amp;","&amp;D31&amp;")*"&amp;C31&amp;"^"&amp;D31&amp;"*(1-"&amp;C31&amp;")^("&amp;B31&amp;"-"&amp;D31&amp;")</f>
        <v/>
      </c>
      <c r="F31">
        <f>COMBIN(B31,D31)*C31^D31*(1-C31)^(B31-D31)</f>
        <v/>
      </c>
      <c r="G31">
        <f>G30+F31</f>
        <v/>
      </c>
    </row>
    <row r="32">
      <c r="A32" t="inlineStr">
        <is>
          <t>buy100_expert_12</t>
        </is>
      </c>
      <c r="B32" t="n">
        <v>12</v>
      </c>
      <c r="C32" t="n">
        <v>0.5551725</v>
      </c>
      <c r="D32" t="n">
        <v>3</v>
      </c>
      <c r="E32">
        <f>"COMBIN("&amp;B32&amp;","&amp;D32&amp;")*"&amp;C32&amp;"^"&amp;D32&amp;"*(1-"&amp;C32&amp;")^("&amp;B32&amp;"-"&amp;D32&amp;")</f>
        <v/>
      </c>
      <c r="F32">
        <f>COMBIN(B32,D32)*C32^D32*(1-C32)^(B32-D32)</f>
        <v/>
      </c>
      <c r="G32">
        <f>G31+F32</f>
        <v/>
      </c>
    </row>
    <row r="33">
      <c r="A33" t="inlineStr">
        <is>
          <t>buy100_expert_12</t>
        </is>
      </c>
      <c r="B33" t="n">
        <v>12</v>
      </c>
      <c r="C33" t="n">
        <v>0.5551725</v>
      </c>
      <c r="D33" t="n">
        <v>4</v>
      </c>
      <c r="E33">
        <f>"COMBIN("&amp;B33&amp;","&amp;D33&amp;")*"&amp;C33&amp;"^"&amp;D33&amp;"*(1-"&amp;C33&amp;")^("&amp;B33&amp;"-"&amp;D33&amp;")</f>
        <v/>
      </c>
      <c r="F33">
        <f>COMBIN(B33,D33)*C33^D33*(1-C33)^(B33-D33)</f>
        <v/>
      </c>
      <c r="G33">
        <f>G32+F33</f>
        <v/>
      </c>
    </row>
    <row r="34">
      <c r="A34" t="inlineStr">
        <is>
          <t>buy100_expert_12</t>
        </is>
      </c>
      <c r="B34" t="n">
        <v>12</v>
      </c>
      <c r="C34" t="n">
        <v>0.5551725</v>
      </c>
      <c r="D34" t="n">
        <v>5</v>
      </c>
      <c r="E34">
        <f>"COMBIN("&amp;B34&amp;","&amp;D34&amp;")*"&amp;C34&amp;"^"&amp;D34&amp;"*(1-"&amp;C34&amp;")^("&amp;B34&amp;"-"&amp;D34&amp;")</f>
        <v/>
      </c>
      <c r="F34">
        <f>COMBIN(B34,D34)*C34^D34*(1-C34)^(B34-D34)</f>
        <v/>
      </c>
      <c r="G34">
        <f>G33+F34</f>
        <v/>
      </c>
    </row>
    <row r="35">
      <c r="A35" t="inlineStr">
        <is>
          <t>buy100_expert_12</t>
        </is>
      </c>
      <c r="B35" t="n">
        <v>12</v>
      </c>
      <c r="C35" t="n">
        <v>0.5551725</v>
      </c>
      <c r="D35" t="n">
        <v>6</v>
      </c>
      <c r="E35">
        <f>"COMBIN("&amp;B35&amp;","&amp;D35&amp;")*"&amp;C35&amp;"^"&amp;D35&amp;"*(1-"&amp;C35&amp;")^("&amp;B35&amp;"-"&amp;D35&amp;")</f>
        <v/>
      </c>
      <c r="F35">
        <f>COMBIN(B35,D35)*C35^D35*(1-C35)^(B35-D35)</f>
        <v/>
      </c>
      <c r="G35">
        <f>G34+F35</f>
        <v/>
      </c>
    </row>
    <row r="36">
      <c r="A36" t="inlineStr">
        <is>
          <t>buy100_expert_12</t>
        </is>
      </c>
      <c r="B36" t="n">
        <v>12</v>
      </c>
      <c r="C36" t="n">
        <v>0.5551725</v>
      </c>
      <c r="D36" t="n">
        <v>7</v>
      </c>
      <c r="E36">
        <f>"COMBIN("&amp;B36&amp;","&amp;D36&amp;")*"&amp;C36&amp;"^"&amp;D36&amp;"*(1-"&amp;C36&amp;")^("&amp;B36&amp;"-"&amp;D36&amp;")</f>
        <v/>
      </c>
      <c r="F36">
        <f>COMBIN(B36,D36)*C36^D36*(1-C36)^(B36-D36)</f>
        <v/>
      </c>
      <c r="G36">
        <f>G35+F36</f>
        <v/>
      </c>
    </row>
    <row r="37">
      <c r="A37" t="inlineStr">
        <is>
          <t>buy100_expert_12</t>
        </is>
      </c>
      <c r="B37" t="n">
        <v>12</v>
      </c>
      <c r="C37" t="n">
        <v>0.5551725</v>
      </c>
      <c r="D37" t="n">
        <v>8</v>
      </c>
      <c r="E37">
        <f>"COMBIN("&amp;B37&amp;","&amp;D37&amp;")*"&amp;C37&amp;"^"&amp;D37&amp;"*(1-"&amp;C37&amp;")^("&amp;B37&amp;"-"&amp;D37&amp;")</f>
        <v/>
      </c>
      <c r="F37">
        <f>COMBIN(B37,D37)*C37^D37*(1-C37)^(B37-D37)</f>
        <v/>
      </c>
      <c r="G37">
        <f>G36+F37</f>
        <v/>
      </c>
    </row>
    <row r="38">
      <c r="A38" t="inlineStr">
        <is>
          <t>buy100_expert_12</t>
        </is>
      </c>
      <c r="B38" t="n">
        <v>12</v>
      </c>
      <c r="C38" t="n">
        <v>0.5551725</v>
      </c>
      <c r="D38" t="n">
        <v>9</v>
      </c>
      <c r="E38">
        <f>"COMBIN("&amp;B38&amp;","&amp;D38&amp;")*"&amp;C38&amp;"^"&amp;D38&amp;"*(1-"&amp;C38&amp;")^("&amp;B38&amp;"-"&amp;D38&amp;")</f>
        <v/>
      </c>
      <c r="F38">
        <f>COMBIN(B38,D38)*C38^D38*(1-C38)^(B38-D38)</f>
        <v/>
      </c>
      <c r="G38">
        <f>G37+F38</f>
        <v/>
      </c>
    </row>
    <row r="39">
      <c r="A39" t="inlineStr">
        <is>
          <t>buy100_expert_12</t>
        </is>
      </c>
      <c r="B39" t="n">
        <v>12</v>
      </c>
      <c r="C39" t="n">
        <v>0.5551725</v>
      </c>
      <c r="D39" t="n">
        <v>10</v>
      </c>
      <c r="E39">
        <f>"COMBIN("&amp;B39&amp;","&amp;D39&amp;")*"&amp;C39&amp;"^"&amp;D39&amp;"*(1-"&amp;C39&amp;")^("&amp;B39&amp;"-"&amp;D39&amp;")</f>
        <v/>
      </c>
      <c r="F39">
        <f>COMBIN(B39,D39)*C39^D39*(1-C39)^(B39-D39)</f>
        <v/>
      </c>
      <c r="G39">
        <f>G38+F39</f>
        <v/>
      </c>
    </row>
    <row r="40">
      <c r="A40" t="inlineStr">
        <is>
          <t>buy100_expert_12</t>
        </is>
      </c>
      <c r="B40" t="n">
        <v>12</v>
      </c>
      <c r="C40" t="n">
        <v>0.5551725</v>
      </c>
      <c r="D40" t="n">
        <v>11</v>
      </c>
      <c r="E40">
        <f>"COMBIN("&amp;B40&amp;","&amp;D40&amp;")*"&amp;C40&amp;"^"&amp;D40&amp;"*(1-"&amp;C40&amp;")^("&amp;B40&amp;"-"&amp;D40&amp;")</f>
        <v/>
      </c>
      <c r="F40">
        <f>COMBIN(B40,D40)*C40^D40*(1-C40)^(B40-D40)</f>
        <v/>
      </c>
      <c r="G40">
        <f>G39+F40</f>
        <v/>
      </c>
    </row>
    <row r="41">
      <c r="A41" t="inlineStr">
        <is>
          <t>buy100_expert_12</t>
        </is>
      </c>
      <c r="B41" t="n">
        <v>12</v>
      </c>
      <c r="C41" t="n">
        <v>0.5551725</v>
      </c>
      <c r="D41" t="n">
        <v>12</v>
      </c>
      <c r="E41">
        <f>"COMBIN("&amp;B41&amp;","&amp;D41&amp;")*"&amp;C41&amp;"^"&amp;D41&amp;"*(1-"&amp;C41&amp;")^("&amp;B41&amp;"-"&amp;D41&amp;")</f>
        <v/>
      </c>
      <c r="F41">
        <f>COMBIN(B41,D41)*C41^D41*(1-C41)^(B41-D41)</f>
        <v/>
      </c>
      <c r="G41">
        <f>G40+F41</f>
        <v/>
      </c>
    </row>
    <row r="42">
      <c r="A42" t="inlineStr">
        <is>
          <t>buy100_expert_13</t>
        </is>
      </c>
      <c r="B42" t="n">
        <v>13</v>
      </c>
      <c r="C42" t="n">
        <v>0.58087996</v>
      </c>
      <c r="D42" t="n">
        <v>0</v>
      </c>
      <c r="E42">
        <f>"COMBIN("&amp;B42&amp;","&amp;D42&amp;")*"&amp;C42&amp;"^"&amp;D42&amp;"*(1-"&amp;C42&amp;")^("&amp;B42&amp;"-"&amp;D42&amp;")</f>
        <v/>
      </c>
      <c r="F42">
        <f>COMBIN(B42,D42)*C42^D42*(1-C42)^(B42-D42)</f>
        <v/>
      </c>
      <c r="G42">
        <f>F42</f>
        <v/>
      </c>
      <c r="H42">
        <f>SUM(F42:F55)</f>
        <v/>
      </c>
    </row>
    <row r="43">
      <c r="A43" t="inlineStr">
        <is>
          <t>buy100_expert_13</t>
        </is>
      </c>
      <c r="B43" t="n">
        <v>13</v>
      </c>
      <c r="C43" t="n">
        <v>0.58087996</v>
      </c>
      <c r="D43" t="n">
        <v>1</v>
      </c>
      <c r="E43">
        <f>"COMBIN("&amp;B43&amp;","&amp;D43&amp;")*"&amp;C43&amp;"^"&amp;D43&amp;"*(1-"&amp;C43&amp;")^("&amp;B43&amp;"-"&amp;D43&amp;")</f>
        <v/>
      </c>
      <c r="F43">
        <f>COMBIN(B43,D43)*C43^D43*(1-C43)^(B43-D43)</f>
        <v/>
      </c>
      <c r="G43">
        <f>G42+F43</f>
        <v/>
      </c>
    </row>
    <row r="44">
      <c r="A44" t="inlineStr">
        <is>
          <t>buy100_expert_13</t>
        </is>
      </c>
      <c r="B44" t="n">
        <v>13</v>
      </c>
      <c r="C44" t="n">
        <v>0.58087996</v>
      </c>
      <c r="D44" t="n">
        <v>2</v>
      </c>
      <c r="E44">
        <f>"COMBIN("&amp;B44&amp;","&amp;D44&amp;")*"&amp;C44&amp;"^"&amp;D44&amp;"*(1-"&amp;C44&amp;")^("&amp;B44&amp;"-"&amp;D44&amp;")</f>
        <v/>
      </c>
      <c r="F44">
        <f>COMBIN(B44,D44)*C44^D44*(1-C44)^(B44-D44)</f>
        <v/>
      </c>
      <c r="G44">
        <f>G43+F44</f>
        <v/>
      </c>
    </row>
    <row r="45">
      <c r="A45" t="inlineStr">
        <is>
          <t>buy100_expert_13</t>
        </is>
      </c>
      <c r="B45" t="n">
        <v>13</v>
      </c>
      <c r="C45" t="n">
        <v>0.58087996</v>
      </c>
      <c r="D45" t="n">
        <v>3</v>
      </c>
      <c r="E45">
        <f>"COMBIN("&amp;B45&amp;","&amp;D45&amp;")*"&amp;C45&amp;"^"&amp;D45&amp;"*(1-"&amp;C45&amp;")^("&amp;B45&amp;"-"&amp;D45&amp;")</f>
        <v/>
      </c>
      <c r="F45">
        <f>COMBIN(B45,D45)*C45^D45*(1-C45)^(B45-D45)</f>
        <v/>
      </c>
      <c r="G45">
        <f>G44+F45</f>
        <v/>
      </c>
    </row>
    <row r="46">
      <c r="A46" t="inlineStr">
        <is>
          <t>buy100_expert_13</t>
        </is>
      </c>
      <c r="B46" t="n">
        <v>13</v>
      </c>
      <c r="C46" t="n">
        <v>0.58087996</v>
      </c>
      <c r="D46" t="n">
        <v>4</v>
      </c>
      <c r="E46">
        <f>"COMBIN("&amp;B46&amp;","&amp;D46&amp;")*"&amp;C46&amp;"^"&amp;D46&amp;"*(1-"&amp;C46&amp;")^("&amp;B46&amp;"-"&amp;D46&amp;")</f>
        <v/>
      </c>
      <c r="F46">
        <f>COMBIN(B46,D46)*C46^D46*(1-C46)^(B46-D46)</f>
        <v/>
      </c>
      <c r="G46">
        <f>G45+F46</f>
        <v/>
      </c>
    </row>
    <row r="47">
      <c r="A47" t="inlineStr">
        <is>
          <t>buy100_expert_13</t>
        </is>
      </c>
      <c r="B47" t="n">
        <v>13</v>
      </c>
      <c r="C47" t="n">
        <v>0.58087996</v>
      </c>
      <c r="D47" t="n">
        <v>5</v>
      </c>
      <c r="E47">
        <f>"COMBIN("&amp;B47&amp;","&amp;D47&amp;")*"&amp;C47&amp;"^"&amp;D47&amp;"*(1-"&amp;C47&amp;")^("&amp;B47&amp;"-"&amp;D47&amp;")</f>
        <v/>
      </c>
      <c r="F47">
        <f>COMBIN(B47,D47)*C47^D47*(1-C47)^(B47-D47)</f>
        <v/>
      </c>
      <c r="G47">
        <f>G46+F47</f>
        <v/>
      </c>
    </row>
    <row r="48">
      <c r="A48" t="inlineStr">
        <is>
          <t>buy100_expert_13</t>
        </is>
      </c>
      <c r="B48" t="n">
        <v>13</v>
      </c>
      <c r="C48" t="n">
        <v>0.58087996</v>
      </c>
      <c r="D48" t="n">
        <v>6</v>
      </c>
      <c r="E48">
        <f>"COMBIN("&amp;B48&amp;","&amp;D48&amp;")*"&amp;C48&amp;"^"&amp;D48&amp;"*(1-"&amp;C48&amp;")^("&amp;B48&amp;"-"&amp;D48&amp;")</f>
        <v/>
      </c>
      <c r="F48">
        <f>COMBIN(B48,D48)*C48^D48*(1-C48)^(B48-D48)</f>
        <v/>
      </c>
      <c r="G48">
        <f>G47+F48</f>
        <v/>
      </c>
    </row>
    <row r="49">
      <c r="A49" t="inlineStr">
        <is>
          <t>buy100_expert_13</t>
        </is>
      </c>
      <c r="B49" t="n">
        <v>13</v>
      </c>
      <c r="C49" t="n">
        <v>0.58087996</v>
      </c>
      <c r="D49" t="n">
        <v>7</v>
      </c>
      <c r="E49">
        <f>"COMBIN("&amp;B49&amp;","&amp;D49&amp;")*"&amp;C49&amp;"^"&amp;D49&amp;"*(1-"&amp;C49&amp;")^("&amp;B49&amp;"-"&amp;D49&amp;")</f>
        <v/>
      </c>
      <c r="F49">
        <f>COMBIN(B49,D49)*C49^D49*(1-C49)^(B49-D49)</f>
        <v/>
      </c>
      <c r="G49">
        <f>G48+F49</f>
        <v/>
      </c>
    </row>
    <row r="50">
      <c r="A50" t="inlineStr">
        <is>
          <t>buy100_expert_13</t>
        </is>
      </c>
      <c r="B50" t="n">
        <v>13</v>
      </c>
      <c r="C50" t="n">
        <v>0.58087996</v>
      </c>
      <c r="D50" t="n">
        <v>8</v>
      </c>
      <c r="E50">
        <f>"COMBIN("&amp;B50&amp;","&amp;D50&amp;")*"&amp;C50&amp;"^"&amp;D50&amp;"*(1-"&amp;C50&amp;")^("&amp;B50&amp;"-"&amp;D50&amp;")</f>
        <v/>
      </c>
      <c r="F50">
        <f>COMBIN(B50,D50)*C50^D50*(1-C50)^(B50-D50)</f>
        <v/>
      </c>
      <c r="G50">
        <f>G49+F50</f>
        <v/>
      </c>
    </row>
    <row r="51">
      <c r="A51" t="inlineStr">
        <is>
          <t>buy100_expert_13</t>
        </is>
      </c>
      <c r="B51" t="n">
        <v>13</v>
      </c>
      <c r="C51" t="n">
        <v>0.58087996</v>
      </c>
      <c r="D51" t="n">
        <v>9</v>
      </c>
      <c r="E51">
        <f>"COMBIN("&amp;B51&amp;","&amp;D51&amp;")*"&amp;C51&amp;"^"&amp;D51&amp;"*(1-"&amp;C51&amp;")^("&amp;B51&amp;"-"&amp;D51&amp;")</f>
        <v/>
      </c>
      <c r="F51">
        <f>COMBIN(B51,D51)*C51^D51*(1-C51)^(B51-D51)</f>
        <v/>
      </c>
      <c r="G51">
        <f>G50+F51</f>
        <v/>
      </c>
    </row>
    <row r="52">
      <c r="A52" t="inlineStr">
        <is>
          <t>buy100_expert_13</t>
        </is>
      </c>
      <c r="B52" t="n">
        <v>13</v>
      </c>
      <c r="C52" t="n">
        <v>0.58087996</v>
      </c>
      <c r="D52" t="n">
        <v>10</v>
      </c>
      <c r="E52">
        <f>"COMBIN("&amp;B52&amp;","&amp;D52&amp;")*"&amp;C52&amp;"^"&amp;D52&amp;"*(1-"&amp;C52&amp;")^("&amp;B52&amp;"-"&amp;D52&amp;")</f>
        <v/>
      </c>
      <c r="F52">
        <f>COMBIN(B52,D52)*C52^D52*(1-C52)^(B52-D52)</f>
        <v/>
      </c>
      <c r="G52">
        <f>G51+F52</f>
        <v/>
      </c>
    </row>
    <row r="53">
      <c r="A53" t="inlineStr">
        <is>
          <t>buy100_expert_13</t>
        </is>
      </c>
      <c r="B53" t="n">
        <v>13</v>
      </c>
      <c r="C53" t="n">
        <v>0.58087996</v>
      </c>
      <c r="D53" t="n">
        <v>11</v>
      </c>
      <c r="E53">
        <f>"COMBIN("&amp;B53&amp;","&amp;D53&amp;")*"&amp;C53&amp;"^"&amp;D53&amp;"*(1-"&amp;C53&amp;")^("&amp;B53&amp;"-"&amp;D53&amp;")</f>
        <v/>
      </c>
      <c r="F53">
        <f>COMBIN(B53,D53)*C53^D53*(1-C53)^(B53-D53)</f>
        <v/>
      </c>
      <c r="G53">
        <f>G52+F53</f>
        <v/>
      </c>
    </row>
    <row r="54">
      <c r="A54" t="inlineStr">
        <is>
          <t>buy100_expert_13</t>
        </is>
      </c>
      <c r="B54" t="n">
        <v>13</v>
      </c>
      <c r="C54" t="n">
        <v>0.58087996</v>
      </c>
      <c r="D54" t="n">
        <v>12</v>
      </c>
      <c r="E54">
        <f>"COMBIN("&amp;B54&amp;","&amp;D54&amp;")*"&amp;C54&amp;"^"&amp;D54&amp;"*(1-"&amp;C54&amp;")^("&amp;B54&amp;"-"&amp;D54&amp;")</f>
        <v/>
      </c>
      <c r="F54">
        <f>COMBIN(B54,D54)*C54^D54*(1-C54)^(B54-D54)</f>
        <v/>
      </c>
      <c r="G54">
        <f>G53+F54</f>
        <v/>
      </c>
    </row>
    <row r="55">
      <c r="A55" t="inlineStr">
        <is>
          <t>buy100_expert_13</t>
        </is>
      </c>
      <c r="B55" t="n">
        <v>13</v>
      </c>
      <c r="C55" t="n">
        <v>0.58087996</v>
      </c>
      <c r="D55" t="n">
        <v>13</v>
      </c>
      <c r="E55">
        <f>"COMBIN("&amp;B55&amp;","&amp;D55&amp;")*"&amp;C55&amp;"^"&amp;D55&amp;"*(1-"&amp;C55&amp;")^("&amp;B55&amp;"-"&amp;D55&amp;")</f>
        <v/>
      </c>
      <c r="F55">
        <f>COMBIN(B55,D55)*C55^D55*(1-C55)^(B55-D55)</f>
        <v/>
      </c>
      <c r="G55">
        <f>G54+F55</f>
        <v/>
      </c>
    </row>
    <row r="56">
      <c r="A56" t="inlineStr">
        <is>
          <t>buy100_expert_14</t>
        </is>
      </c>
      <c r="B56" t="n">
        <v>14</v>
      </c>
      <c r="C56" t="n">
        <v>0.60386048</v>
      </c>
      <c r="D56" t="n">
        <v>0</v>
      </c>
      <c r="E56">
        <f>"COMBIN("&amp;B56&amp;","&amp;D56&amp;")*"&amp;C56&amp;"^"&amp;D56&amp;"*(1-"&amp;C56&amp;")^("&amp;B56&amp;"-"&amp;D56&amp;")</f>
        <v/>
      </c>
      <c r="F56">
        <f>COMBIN(B56,D56)*C56^D56*(1-C56)^(B56-D56)</f>
        <v/>
      </c>
      <c r="G56">
        <f>F56</f>
        <v/>
      </c>
      <c r="H56">
        <f>SUM(F56:F70)</f>
        <v/>
      </c>
    </row>
    <row r="57">
      <c r="A57" t="inlineStr">
        <is>
          <t>buy100_expert_14</t>
        </is>
      </c>
      <c r="B57" t="n">
        <v>14</v>
      </c>
      <c r="C57" t="n">
        <v>0.60386048</v>
      </c>
      <c r="D57" t="n">
        <v>1</v>
      </c>
      <c r="E57">
        <f>"COMBIN("&amp;B57&amp;","&amp;D57&amp;")*"&amp;C57&amp;"^"&amp;D57&amp;"*(1-"&amp;C57&amp;")^("&amp;B57&amp;"-"&amp;D57&amp;")</f>
        <v/>
      </c>
      <c r="F57">
        <f>COMBIN(B57,D57)*C57^D57*(1-C57)^(B57-D57)</f>
        <v/>
      </c>
      <c r="G57">
        <f>G56+F57</f>
        <v/>
      </c>
    </row>
    <row r="58">
      <c r="A58" t="inlineStr">
        <is>
          <t>buy100_expert_14</t>
        </is>
      </c>
      <c r="B58" t="n">
        <v>14</v>
      </c>
      <c r="C58" t="n">
        <v>0.60386048</v>
      </c>
      <c r="D58" t="n">
        <v>2</v>
      </c>
      <c r="E58">
        <f>"COMBIN("&amp;B58&amp;","&amp;D58&amp;")*"&amp;C58&amp;"^"&amp;D58&amp;"*(1-"&amp;C58&amp;")^("&amp;B58&amp;"-"&amp;D58&amp;")</f>
        <v/>
      </c>
      <c r="F58">
        <f>COMBIN(B58,D58)*C58^D58*(1-C58)^(B58-D58)</f>
        <v/>
      </c>
      <c r="G58">
        <f>G57+F58</f>
        <v/>
      </c>
    </row>
    <row r="59">
      <c r="A59" t="inlineStr">
        <is>
          <t>buy100_expert_14</t>
        </is>
      </c>
      <c r="B59" t="n">
        <v>14</v>
      </c>
      <c r="C59" t="n">
        <v>0.60386048</v>
      </c>
      <c r="D59" t="n">
        <v>3</v>
      </c>
      <c r="E59">
        <f>"COMBIN("&amp;B59&amp;","&amp;D59&amp;")*"&amp;C59&amp;"^"&amp;D59&amp;"*(1-"&amp;C59&amp;")^("&amp;B59&amp;"-"&amp;D59&amp;")</f>
        <v/>
      </c>
      <c r="F59">
        <f>COMBIN(B59,D59)*C59^D59*(1-C59)^(B59-D59)</f>
        <v/>
      </c>
      <c r="G59">
        <f>G58+F59</f>
        <v/>
      </c>
    </row>
    <row r="60">
      <c r="A60" t="inlineStr">
        <is>
          <t>buy100_expert_14</t>
        </is>
      </c>
      <c r="B60" t="n">
        <v>14</v>
      </c>
      <c r="C60" t="n">
        <v>0.60386048</v>
      </c>
      <c r="D60" t="n">
        <v>4</v>
      </c>
      <c r="E60">
        <f>"COMBIN("&amp;B60&amp;","&amp;D60&amp;")*"&amp;C60&amp;"^"&amp;D60&amp;"*(1-"&amp;C60&amp;")^("&amp;B60&amp;"-"&amp;D60&amp;")</f>
        <v/>
      </c>
      <c r="F60">
        <f>COMBIN(B60,D60)*C60^D60*(1-C60)^(B60-D60)</f>
        <v/>
      </c>
      <c r="G60">
        <f>G59+F60</f>
        <v/>
      </c>
    </row>
    <row r="61">
      <c r="A61" t="inlineStr">
        <is>
          <t>buy100_expert_14</t>
        </is>
      </c>
      <c r="B61" t="n">
        <v>14</v>
      </c>
      <c r="C61" t="n">
        <v>0.60386048</v>
      </c>
      <c r="D61" t="n">
        <v>5</v>
      </c>
      <c r="E61">
        <f>"COMBIN("&amp;B61&amp;","&amp;D61&amp;")*"&amp;C61&amp;"^"&amp;D61&amp;"*(1-"&amp;C61&amp;")^("&amp;B61&amp;"-"&amp;D61&amp;")</f>
        <v/>
      </c>
      <c r="F61">
        <f>COMBIN(B61,D61)*C61^D61*(1-C61)^(B61-D61)</f>
        <v/>
      </c>
      <c r="G61">
        <f>G60+F61</f>
        <v/>
      </c>
    </row>
    <row r="62">
      <c r="A62" t="inlineStr">
        <is>
          <t>buy100_expert_14</t>
        </is>
      </c>
      <c r="B62" t="n">
        <v>14</v>
      </c>
      <c r="C62" t="n">
        <v>0.60386048</v>
      </c>
      <c r="D62" t="n">
        <v>6</v>
      </c>
      <c r="E62">
        <f>"COMBIN("&amp;B62&amp;","&amp;D62&amp;")*"&amp;C62&amp;"^"&amp;D62&amp;"*(1-"&amp;C62&amp;")^("&amp;B62&amp;"-"&amp;D62&amp;")</f>
        <v/>
      </c>
      <c r="F62">
        <f>COMBIN(B62,D62)*C62^D62*(1-C62)^(B62-D62)</f>
        <v/>
      </c>
      <c r="G62">
        <f>G61+F62</f>
        <v/>
      </c>
    </row>
    <row r="63">
      <c r="A63" t="inlineStr">
        <is>
          <t>buy100_expert_14</t>
        </is>
      </c>
      <c r="B63" t="n">
        <v>14</v>
      </c>
      <c r="C63" t="n">
        <v>0.60386048</v>
      </c>
      <c r="D63" t="n">
        <v>7</v>
      </c>
      <c r="E63">
        <f>"COMBIN("&amp;B63&amp;","&amp;D63&amp;")*"&amp;C63&amp;"^"&amp;D63&amp;"*(1-"&amp;C63&amp;")^("&amp;B63&amp;"-"&amp;D63&amp;")</f>
        <v/>
      </c>
      <c r="F63">
        <f>COMBIN(B63,D63)*C63^D63*(1-C63)^(B63-D63)</f>
        <v/>
      </c>
      <c r="G63">
        <f>G62+F63</f>
        <v/>
      </c>
    </row>
    <row r="64">
      <c r="A64" t="inlineStr">
        <is>
          <t>buy100_expert_14</t>
        </is>
      </c>
      <c r="B64" t="n">
        <v>14</v>
      </c>
      <c r="C64" t="n">
        <v>0.60386048</v>
      </c>
      <c r="D64" t="n">
        <v>8</v>
      </c>
      <c r="E64">
        <f>"COMBIN("&amp;B64&amp;","&amp;D64&amp;")*"&amp;C64&amp;"^"&amp;D64&amp;"*(1-"&amp;C64&amp;")^("&amp;B64&amp;"-"&amp;D64&amp;")</f>
        <v/>
      </c>
      <c r="F64">
        <f>COMBIN(B64,D64)*C64^D64*(1-C64)^(B64-D64)</f>
        <v/>
      </c>
      <c r="G64">
        <f>G63+F64</f>
        <v/>
      </c>
    </row>
    <row r="65">
      <c r="A65" t="inlineStr">
        <is>
          <t>buy100_expert_14</t>
        </is>
      </c>
      <c r="B65" t="n">
        <v>14</v>
      </c>
      <c r="C65" t="n">
        <v>0.60386048</v>
      </c>
      <c r="D65" t="n">
        <v>9</v>
      </c>
      <c r="E65">
        <f>"COMBIN("&amp;B65&amp;","&amp;D65&amp;")*"&amp;C65&amp;"^"&amp;D65&amp;"*(1-"&amp;C65&amp;")^("&amp;B65&amp;"-"&amp;D65&amp;")</f>
        <v/>
      </c>
      <c r="F65">
        <f>COMBIN(B65,D65)*C65^D65*(1-C65)^(B65-D65)</f>
        <v/>
      </c>
      <c r="G65">
        <f>G64+F65</f>
        <v/>
      </c>
    </row>
    <row r="66">
      <c r="A66" t="inlineStr">
        <is>
          <t>buy100_expert_14</t>
        </is>
      </c>
      <c r="B66" t="n">
        <v>14</v>
      </c>
      <c r="C66" t="n">
        <v>0.60386048</v>
      </c>
      <c r="D66" t="n">
        <v>10</v>
      </c>
      <c r="E66">
        <f>"COMBIN("&amp;B66&amp;","&amp;D66&amp;")*"&amp;C66&amp;"^"&amp;D66&amp;"*(1-"&amp;C66&amp;")^("&amp;B66&amp;"-"&amp;D66&amp;")</f>
        <v/>
      </c>
      <c r="F66">
        <f>COMBIN(B66,D66)*C66^D66*(1-C66)^(B66-D66)</f>
        <v/>
      </c>
      <c r="G66">
        <f>G65+F66</f>
        <v/>
      </c>
    </row>
    <row r="67">
      <c r="A67" t="inlineStr">
        <is>
          <t>buy100_expert_14</t>
        </is>
      </c>
      <c r="B67" t="n">
        <v>14</v>
      </c>
      <c r="C67" t="n">
        <v>0.60386048</v>
      </c>
      <c r="D67" t="n">
        <v>11</v>
      </c>
      <c r="E67">
        <f>"COMBIN("&amp;B67&amp;","&amp;D67&amp;")*"&amp;C67&amp;"^"&amp;D67&amp;"*(1-"&amp;C67&amp;")^("&amp;B67&amp;"-"&amp;D67&amp;")</f>
        <v/>
      </c>
      <c r="F67">
        <f>COMBIN(B67,D67)*C67^D67*(1-C67)^(B67-D67)</f>
        <v/>
      </c>
      <c r="G67">
        <f>G66+F67</f>
        <v/>
      </c>
    </row>
    <row r="68">
      <c r="A68" t="inlineStr">
        <is>
          <t>buy100_expert_14</t>
        </is>
      </c>
      <c r="B68" t="n">
        <v>14</v>
      </c>
      <c r="C68" t="n">
        <v>0.60386048</v>
      </c>
      <c r="D68" t="n">
        <v>12</v>
      </c>
      <c r="E68">
        <f>"COMBIN("&amp;B68&amp;","&amp;D68&amp;")*"&amp;C68&amp;"^"&amp;D68&amp;"*(1-"&amp;C68&amp;")^("&amp;B68&amp;"-"&amp;D68&amp;")</f>
        <v/>
      </c>
      <c r="F68">
        <f>COMBIN(B68,D68)*C68^D68*(1-C68)^(B68-D68)</f>
        <v/>
      </c>
      <c r="G68">
        <f>G67+F68</f>
        <v/>
      </c>
    </row>
    <row r="69">
      <c r="A69" t="inlineStr">
        <is>
          <t>buy100_expert_14</t>
        </is>
      </c>
      <c r="B69" t="n">
        <v>14</v>
      </c>
      <c r="C69" t="n">
        <v>0.60386048</v>
      </c>
      <c r="D69" t="n">
        <v>13</v>
      </c>
      <c r="E69">
        <f>"COMBIN("&amp;B69&amp;","&amp;D69&amp;")*"&amp;C69&amp;"^"&amp;D69&amp;"*(1-"&amp;C69&amp;")^("&amp;B69&amp;"-"&amp;D69&amp;")</f>
        <v/>
      </c>
      <c r="F69">
        <f>COMBIN(B69,D69)*C69^D69*(1-C69)^(B69-D69)</f>
        <v/>
      </c>
      <c r="G69">
        <f>G68+F69</f>
        <v/>
      </c>
    </row>
    <row r="70">
      <c r="A70" t="inlineStr">
        <is>
          <t>buy100_expert_14</t>
        </is>
      </c>
      <c r="B70" t="n">
        <v>14</v>
      </c>
      <c r="C70" t="n">
        <v>0.60386048</v>
      </c>
      <c r="D70" t="n">
        <v>14</v>
      </c>
      <c r="E70">
        <f>"COMBIN("&amp;B70&amp;","&amp;D70&amp;")*"&amp;C70&amp;"^"&amp;D70&amp;"*(1-"&amp;C70&amp;")^("&amp;B70&amp;"-"&amp;D70&amp;")</f>
        <v/>
      </c>
      <c r="F70">
        <f>COMBIN(B70,D70)*C70^D70*(1-C70)^(B70-D70)</f>
        <v/>
      </c>
      <c r="G70">
        <f>G69+F70</f>
        <v/>
      </c>
    </row>
    <row r="71">
      <c r="A71" t="inlineStr">
        <is>
          <t>buy100_expert_15</t>
        </is>
      </c>
      <c r="B71" t="n">
        <v>15</v>
      </c>
      <c r="C71" t="n">
        <v>0.62451117</v>
      </c>
      <c r="D71" t="n">
        <v>0</v>
      </c>
      <c r="E71">
        <f>"COMBIN("&amp;B71&amp;","&amp;D71&amp;")*"&amp;C71&amp;"^"&amp;D71&amp;"*(1-"&amp;C71&amp;")^("&amp;B71&amp;"-"&amp;D71&amp;")</f>
        <v/>
      </c>
      <c r="F71">
        <f>COMBIN(B71,D71)*C71^D71*(1-C71)^(B71-D71)</f>
        <v/>
      </c>
      <c r="G71">
        <f>F71</f>
        <v/>
      </c>
      <c r="H71">
        <f>SUM(F71:F86)</f>
        <v/>
      </c>
    </row>
    <row r="72">
      <c r="A72" t="inlineStr">
        <is>
          <t>buy100_expert_15</t>
        </is>
      </c>
      <c r="B72" t="n">
        <v>15</v>
      </c>
      <c r="C72" t="n">
        <v>0.62451117</v>
      </c>
      <c r="D72" t="n">
        <v>1</v>
      </c>
      <c r="E72">
        <f>"COMBIN("&amp;B72&amp;","&amp;D72&amp;")*"&amp;C72&amp;"^"&amp;D72&amp;"*(1-"&amp;C72&amp;")^("&amp;B72&amp;"-"&amp;D72&amp;")</f>
        <v/>
      </c>
      <c r="F72">
        <f>COMBIN(B72,D72)*C72^D72*(1-C72)^(B72-D72)</f>
        <v/>
      </c>
      <c r="G72">
        <f>G71+F72</f>
        <v/>
      </c>
    </row>
    <row r="73">
      <c r="A73" t="inlineStr">
        <is>
          <t>buy100_expert_15</t>
        </is>
      </c>
      <c r="B73" t="n">
        <v>15</v>
      </c>
      <c r="C73" t="n">
        <v>0.62451117</v>
      </c>
      <c r="D73" t="n">
        <v>2</v>
      </c>
      <c r="E73">
        <f>"COMBIN("&amp;B73&amp;","&amp;D73&amp;")*"&amp;C73&amp;"^"&amp;D73&amp;"*(1-"&amp;C73&amp;")^("&amp;B73&amp;"-"&amp;D73&amp;")</f>
        <v/>
      </c>
      <c r="F73">
        <f>COMBIN(B73,D73)*C73^D73*(1-C73)^(B73-D73)</f>
        <v/>
      </c>
      <c r="G73">
        <f>G72+F73</f>
        <v/>
      </c>
    </row>
    <row r="74">
      <c r="A74" t="inlineStr">
        <is>
          <t>buy100_expert_15</t>
        </is>
      </c>
      <c r="B74" t="n">
        <v>15</v>
      </c>
      <c r="C74" t="n">
        <v>0.62451117</v>
      </c>
      <c r="D74" t="n">
        <v>3</v>
      </c>
      <c r="E74">
        <f>"COMBIN("&amp;B74&amp;","&amp;D74&amp;")*"&amp;C74&amp;"^"&amp;D74&amp;"*(1-"&amp;C74&amp;")^("&amp;B74&amp;"-"&amp;D74&amp;")</f>
        <v/>
      </c>
      <c r="F74">
        <f>COMBIN(B74,D74)*C74^D74*(1-C74)^(B74-D74)</f>
        <v/>
      </c>
      <c r="G74">
        <f>G73+F74</f>
        <v/>
      </c>
    </row>
    <row r="75">
      <c r="A75" t="inlineStr">
        <is>
          <t>buy100_expert_15</t>
        </is>
      </c>
      <c r="B75" t="n">
        <v>15</v>
      </c>
      <c r="C75" t="n">
        <v>0.62451117</v>
      </c>
      <c r="D75" t="n">
        <v>4</v>
      </c>
      <c r="E75">
        <f>"COMBIN("&amp;B75&amp;","&amp;D75&amp;")*"&amp;C75&amp;"^"&amp;D75&amp;"*(1-"&amp;C75&amp;")^("&amp;B75&amp;"-"&amp;D75&amp;")</f>
        <v/>
      </c>
      <c r="F75">
        <f>COMBIN(B75,D75)*C75^D75*(1-C75)^(B75-D75)</f>
        <v/>
      </c>
      <c r="G75">
        <f>G74+F75</f>
        <v/>
      </c>
    </row>
    <row r="76">
      <c r="A76" t="inlineStr">
        <is>
          <t>buy100_expert_15</t>
        </is>
      </c>
      <c r="B76" t="n">
        <v>15</v>
      </c>
      <c r="C76" t="n">
        <v>0.62451117</v>
      </c>
      <c r="D76" t="n">
        <v>5</v>
      </c>
      <c r="E76">
        <f>"COMBIN("&amp;B76&amp;","&amp;D76&amp;")*"&amp;C76&amp;"^"&amp;D76&amp;"*(1-"&amp;C76&amp;")^("&amp;B76&amp;"-"&amp;D76&amp;")</f>
        <v/>
      </c>
      <c r="F76">
        <f>COMBIN(B76,D76)*C76^D76*(1-C76)^(B76-D76)</f>
        <v/>
      </c>
      <c r="G76">
        <f>G75+F76</f>
        <v/>
      </c>
    </row>
    <row r="77">
      <c r="A77" t="inlineStr">
        <is>
          <t>buy100_expert_15</t>
        </is>
      </c>
      <c r="B77" t="n">
        <v>15</v>
      </c>
      <c r="C77" t="n">
        <v>0.62451117</v>
      </c>
      <c r="D77" t="n">
        <v>6</v>
      </c>
      <c r="E77">
        <f>"COMBIN("&amp;B77&amp;","&amp;D77&amp;")*"&amp;C77&amp;"^"&amp;D77&amp;"*(1-"&amp;C77&amp;")^("&amp;B77&amp;"-"&amp;D77&amp;")</f>
        <v/>
      </c>
      <c r="F77">
        <f>COMBIN(B77,D77)*C77^D77*(1-C77)^(B77-D77)</f>
        <v/>
      </c>
      <c r="G77">
        <f>G76+F77</f>
        <v/>
      </c>
    </row>
    <row r="78">
      <c r="A78" t="inlineStr">
        <is>
          <t>buy100_expert_15</t>
        </is>
      </c>
      <c r="B78" t="n">
        <v>15</v>
      </c>
      <c r="C78" t="n">
        <v>0.62451117</v>
      </c>
      <c r="D78" t="n">
        <v>7</v>
      </c>
      <c r="E78">
        <f>"COMBIN("&amp;B78&amp;","&amp;D78&amp;")*"&amp;C78&amp;"^"&amp;D78&amp;"*(1-"&amp;C78&amp;")^("&amp;B78&amp;"-"&amp;D78&amp;")</f>
        <v/>
      </c>
      <c r="F78">
        <f>COMBIN(B78,D78)*C78^D78*(1-C78)^(B78-D78)</f>
        <v/>
      </c>
      <c r="G78">
        <f>G77+F78</f>
        <v/>
      </c>
    </row>
    <row r="79">
      <c r="A79" t="inlineStr">
        <is>
          <t>buy100_expert_15</t>
        </is>
      </c>
      <c r="B79" t="n">
        <v>15</v>
      </c>
      <c r="C79" t="n">
        <v>0.62451117</v>
      </c>
      <c r="D79" t="n">
        <v>8</v>
      </c>
      <c r="E79">
        <f>"COMBIN("&amp;B79&amp;","&amp;D79&amp;")*"&amp;C79&amp;"^"&amp;D79&amp;"*(1-"&amp;C79&amp;")^("&amp;B79&amp;"-"&amp;D79&amp;")</f>
        <v/>
      </c>
      <c r="F79">
        <f>COMBIN(B79,D79)*C79^D79*(1-C79)^(B79-D79)</f>
        <v/>
      </c>
      <c r="G79">
        <f>G78+F79</f>
        <v/>
      </c>
    </row>
    <row r="80">
      <c r="A80" t="inlineStr">
        <is>
          <t>buy100_expert_15</t>
        </is>
      </c>
      <c r="B80" t="n">
        <v>15</v>
      </c>
      <c r="C80" t="n">
        <v>0.62451117</v>
      </c>
      <c r="D80" t="n">
        <v>9</v>
      </c>
      <c r="E80">
        <f>"COMBIN("&amp;B80&amp;","&amp;D80&amp;")*"&amp;C80&amp;"^"&amp;D80&amp;"*(1-"&amp;C80&amp;")^("&amp;B80&amp;"-"&amp;D80&amp;")</f>
        <v/>
      </c>
      <c r="F80">
        <f>COMBIN(B80,D80)*C80^D80*(1-C80)^(B80-D80)</f>
        <v/>
      </c>
      <c r="G80">
        <f>G79+F80</f>
        <v/>
      </c>
    </row>
    <row r="81">
      <c r="A81" t="inlineStr">
        <is>
          <t>buy100_expert_15</t>
        </is>
      </c>
      <c r="B81" t="n">
        <v>15</v>
      </c>
      <c r="C81" t="n">
        <v>0.62451117</v>
      </c>
      <c r="D81" t="n">
        <v>10</v>
      </c>
      <c r="E81">
        <f>"COMBIN("&amp;B81&amp;","&amp;D81&amp;")*"&amp;C81&amp;"^"&amp;D81&amp;"*(1-"&amp;C81&amp;")^("&amp;B81&amp;"-"&amp;D81&amp;")</f>
        <v/>
      </c>
      <c r="F81">
        <f>COMBIN(B81,D81)*C81^D81*(1-C81)^(B81-D81)</f>
        <v/>
      </c>
      <c r="G81">
        <f>G80+F81</f>
        <v/>
      </c>
    </row>
    <row r="82">
      <c r="A82" t="inlineStr">
        <is>
          <t>buy100_expert_15</t>
        </is>
      </c>
      <c r="B82" t="n">
        <v>15</v>
      </c>
      <c r="C82" t="n">
        <v>0.62451117</v>
      </c>
      <c r="D82" t="n">
        <v>11</v>
      </c>
      <c r="E82">
        <f>"COMBIN("&amp;B82&amp;","&amp;D82&amp;")*"&amp;C82&amp;"^"&amp;D82&amp;"*(1-"&amp;C82&amp;")^("&amp;B82&amp;"-"&amp;D82&amp;")</f>
        <v/>
      </c>
      <c r="F82">
        <f>COMBIN(B82,D82)*C82^D82*(1-C82)^(B82-D82)</f>
        <v/>
      </c>
      <c r="G82">
        <f>G81+F82</f>
        <v/>
      </c>
    </row>
    <row r="83">
      <c r="A83" t="inlineStr">
        <is>
          <t>buy100_expert_15</t>
        </is>
      </c>
      <c r="B83" t="n">
        <v>15</v>
      </c>
      <c r="C83" t="n">
        <v>0.62451117</v>
      </c>
      <c r="D83" t="n">
        <v>12</v>
      </c>
      <c r="E83">
        <f>"COMBIN("&amp;B83&amp;","&amp;D83&amp;")*"&amp;C83&amp;"^"&amp;D83&amp;"*(1-"&amp;C83&amp;")^("&amp;B83&amp;"-"&amp;D83&amp;")</f>
        <v/>
      </c>
      <c r="F83">
        <f>COMBIN(B83,D83)*C83^D83*(1-C83)^(B83-D83)</f>
        <v/>
      </c>
      <c r="G83">
        <f>G82+F83</f>
        <v/>
      </c>
    </row>
    <row r="84">
      <c r="A84" t="inlineStr">
        <is>
          <t>buy100_expert_15</t>
        </is>
      </c>
      <c r="B84" t="n">
        <v>15</v>
      </c>
      <c r="C84" t="n">
        <v>0.62451117</v>
      </c>
      <c r="D84" t="n">
        <v>13</v>
      </c>
      <c r="E84">
        <f>"COMBIN("&amp;B84&amp;","&amp;D84&amp;")*"&amp;C84&amp;"^"&amp;D84&amp;"*(1-"&amp;C84&amp;")^("&amp;B84&amp;"-"&amp;D84&amp;")</f>
        <v/>
      </c>
      <c r="F84">
        <f>COMBIN(B84,D84)*C84^D84*(1-C84)^(B84-D84)</f>
        <v/>
      </c>
      <c r="G84">
        <f>G83+F84</f>
        <v/>
      </c>
    </row>
    <row r="85">
      <c r="A85" t="inlineStr">
        <is>
          <t>buy100_expert_15</t>
        </is>
      </c>
      <c r="B85" t="n">
        <v>15</v>
      </c>
      <c r="C85" t="n">
        <v>0.62451117</v>
      </c>
      <c r="D85" t="n">
        <v>14</v>
      </c>
      <c r="E85">
        <f>"COMBIN("&amp;B85&amp;","&amp;D85&amp;")*"&amp;C85&amp;"^"&amp;D85&amp;"*(1-"&amp;C85&amp;")^("&amp;B85&amp;"-"&amp;D85&amp;")</f>
        <v/>
      </c>
      <c r="F85">
        <f>COMBIN(B85,D85)*C85^D85*(1-C85)^(B85-D85)</f>
        <v/>
      </c>
      <c r="G85">
        <f>G84+F85</f>
        <v/>
      </c>
    </row>
    <row r="86">
      <c r="A86" t="inlineStr">
        <is>
          <t>buy100_expert_15</t>
        </is>
      </c>
      <c r="B86" t="n">
        <v>15</v>
      </c>
      <c r="C86" t="n">
        <v>0.62451117</v>
      </c>
      <c r="D86" t="n">
        <v>15</v>
      </c>
      <c r="E86">
        <f>"COMBIN("&amp;B86&amp;","&amp;D86&amp;")*"&amp;C86&amp;"^"&amp;D86&amp;"*(1-"&amp;C86&amp;")^("&amp;B86&amp;"-"&amp;D86&amp;")</f>
        <v/>
      </c>
      <c r="F86">
        <f>COMBIN(B86,D86)*C86^D86*(1-C86)^(B86-D86)</f>
        <v/>
      </c>
      <c r="G86">
        <f>G85+F86</f>
        <v/>
      </c>
    </row>
    <row r="87">
      <c r="A87" t="inlineStr">
        <is>
          <t>buy100_expert_16</t>
        </is>
      </c>
      <c r="B87" t="n">
        <v>16</v>
      </c>
      <c r="C87" t="n">
        <v>0.64315911</v>
      </c>
      <c r="D87" t="n">
        <v>0</v>
      </c>
      <c r="E87">
        <f>"COMBIN("&amp;B87&amp;","&amp;D87&amp;")*"&amp;C87&amp;"^"&amp;D87&amp;"*(1-"&amp;C87&amp;")^("&amp;B87&amp;"-"&amp;D87&amp;")</f>
        <v/>
      </c>
      <c r="F87">
        <f>COMBIN(B87,D87)*C87^D87*(1-C87)^(B87-D87)</f>
        <v/>
      </c>
      <c r="G87">
        <f>F87</f>
        <v/>
      </c>
      <c r="H87">
        <f>SUM(F87:F103)</f>
        <v/>
      </c>
    </row>
    <row r="88">
      <c r="A88" t="inlineStr">
        <is>
          <t>buy100_expert_16</t>
        </is>
      </c>
      <c r="B88" t="n">
        <v>16</v>
      </c>
      <c r="C88" t="n">
        <v>0.64315911</v>
      </c>
      <c r="D88" t="n">
        <v>1</v>
      </c>
      <c r="E88">
        <f>"COMBIN("&amp;B88&amp;","&amp;D88&amp;")*"&amp;C88&amp;"^"&amp;D88&amp;"*(1-"&amp;C88&amp;")^("&amp;B88&amp;"-"&amp;D88&amp;")</f>
        <v/>
      </c>
      <c r="F88">
        <f>COMBIN(B88,D88)*C88^D88*(1-C88)^(B88-D88)</f>
        <v/>
      </c>
      <c r="G88">
        <f>G87+F88</f>
        <v/>
      </c>
    </row>
    <row r="89">
      <c r="A89" t="inlineStr">
        <is>
          <t>buy100_expert_16</t>
        </is>
      </c>
      <c r="B89" t="n">
        <v>16</v>
      </c>
      <c r="C89" t="n">
        <v>0.64315911</v>
      </c>
      <c r="D89" t="n">
        <v>2</v>
      </c>
      <c r="E89">
        <f>"COMBIN("&amp;B89&amp;","&amp;D89&amp;")*"&amp;C89&amp;"^"&amp;D89&amp;"*(1-"&amp;C89&amp;")^("&amp;B89&amp;"-"&amp;D89&amp;")</f>
        <v/>
      </c>
      <c r="F89">
        <f>COMBIN(B89,D89)*C89^D89*(1-C89)^(B89-D89)</f>
        <v/>
      </c>
      <c r="G89">
        <f>G88+F89</f>
        <v/>
      </c>
    </row>
    <row r="90">
      <c r="A90" t="inlineStr">
        <is>
          <t>buy100_expert_16</t>
        </is>
      </c>
      <c r="B90" t="n">
        <v>16</v>
      </c>
      <c r="C90" t="n">
        <v>0.64315911</v>
      </c>
      <c r="D90" t="n">
        <v>3</v>
      </c>
      <c r="E90">
        <f>"COMBIN("&amp;B90&amp;","&amp;D90&amp;")*"&amp;C90&amp;"^"&amp;D90&amp;"*(1-"&amp;C90&amp;")^("&amp;B90&amp;"-"&amp;D90&amp;")</f>
        <v/>
      </c>
      <c r="F90">
        <f>COMBIN(B90,D90)*C90^D90*(1-C90)^(B90-D90)</f>
        <v/>
      </c>
      <c r="G90">
        <f>G89+F90</f>
        <v/>
      </c>
    </row>
    <row r="91">
      <c r="A91" t="inlineStr">
        <is>
          <t>buy100_expert_16</t>
        </is>
      </c>
      <c r="B91" t="n">
        <v>16</v>
      </c>
      <c r="C91" t="n">
        <v>0.64315911</v>
      </c>
      <c r="D91" t="n">
        <v>4</v>
      </c>
      <c r="E91">
        <f>"COMBIN("&amp;B91&amp;","&amp;D91&amp;")*"&amp;C91&amp;"^"&amp;D91&amp;"*(1-"&amp;C91&amp;")^("&amp;B91&amp;"-"&amp;D91&amp;")</f>
        <v/>
      </c>
      <c r="F91">
        <f>COMBIN(B91,D91)*C91^D91*(1-C91)^(B91-D91)</f>
        <v/>
      </c>
      <c r="G91">
        <f>G90+F91</f>
        <v/>
      </c>
    </row>
    <row r="92">
      <c r="A92" t="inlineStr">
        <is>
          <t>buy100_expert_16</t>
        </is>
      </c>
      <c r="B92" t="n">
        <v>16</v>
      </c>
      <c r="C92" t="n">
        <v>0.64315911</v>
      </c>
      <c r="D92" t="n">
        <v>5</v>
      </c>
      <c r="E92">
        <f>"COMBIN("&amp;B92&amp;","&amp;D92&amp;")*"&amp;C92&amp;"^"&amp;D92&amp;"*(1-"&amp;C92&amp;")^("&amp;B92&amp;"-"&amp;D92&amp;")</f>
        <v/>
      </c>
      <c r="F92">
        <f>COMBIN(B92,D92)*C92^D92*(1-C92)^(B92-D92)</f>
        <v/>
      </c>
      <c r="G92">
        <f>G91+F92</f>
        <v/>
      </c>
    </row>
    <row r="93">
      <c r="A93" t="inlineStr">
        <is>
          <t>buy100_expert_16</t>
        </is>
      </c>
      <c r="B93" t="n">
        <v>16</v>
      </c>
      <c r="C93" t="n">
        <v>0.64315911</v>
      </c>
      <c r="D93" t="n">
        <v>6</v>
      </c>
      <c r="E93">
        <f>"COMBIN("&amp;B93&amp;","&amp;D93&amp;")*"&amp;C93&amp;"^"&amp;D93&amp;"*(1-"&amp;C93&amp;")^("&amp;B93&amp;"-"&amp;D93&amp;")</f>
        <v/>
      </c>
      <c r="F93">
        <f>COMBIN(B93,D93)*C93^D93*(1-C93)^(B93-D93)</f>
        <v/>
      </c>
      <c r="G93">
        <f>G92+F93</f>
        <v/>
      </c>
    </row>
    <row r="94">
      <c r="A94" t="inlineStr">
        <is>
          <t>buy100_expert_16</t>
        </is>
      </c>
      <c r="B94" t="n">
        <v>16</v>
      </c>
      <c r="C94" t="n">
        <v>0.64315911</v>
      </c>
      <c r="D94" t="n">
        <v>7</v>
      </c>
      <c r="E94">
        <f>"COMBIN("&amp;B94&amp;","&amp;D94&amp;")*"&amp;C94&amp;"^"&amp;D94&amp;"*(1-"&amp;C94&amp;")^("&amp;B94&amp;"-"&amp;D94&amp;")</f>
        <v/>
      </c>
      <c r="F94">
        <f>COMBIN(B94,D94)*C94^D94*(1-C94)^(B94-D94)</f>
        <v/>
      </c>
      <c r="G94">
        <f>G93+F94</f>
        <v/>
      </c>
    </row>
    <row r="95">
      <c r="A95" t="inlineStr">
        <is>
          <t>buy100_expert_16</t>
        </is>
      </c>
      <c r="B95" t="n">
        <v>16</v>
      </c>
      <c r="C95" t="n">
        <v>0.64315911</v>
      </c>
      <c r="D95" t="n">
        <v>8</v>
      </c>
      <c r="E95">
        <f>"COMBIN("&amp;B95&amp;","&amp;D95&amp;")*"&amp;C95&amp;"^"&amp;D95&amp;"*(1-"&amp;C95&amp;")^("&amp;B95&amp;"-"&amp;D95&amp;")</f>
        <v/>
      </c>
      <c r="F95">
        <f>COMBIN(B95,D95)*C95^D95*(1-C95)^(B95-D95)</f>
        <v/>
      </c>
      <c r="G95">
        <f>G94+F95</f>
        <v/>
      </c>
    </row>
    <row r="96">
      <c r="A96" t="inlineStr">
        <is>
          <t>buy100_expert_16</t>
        </is>
      </c>
      <c r="B96" t="n">
        <v>16</v>
      </c>
      <c r="C96" t="n">
        <v>0.64315911</v>
      </c>
      <c r="D96" t="n">
        <v>9</v>
      </c>
      <c r="E96">
        <f>"COMBIN("&amp;B96&amp;","&amp;D96&amp;")*"&amp;C96&amp;"^"&amp;D96&amp;"*(1-"&amp;C96&amp;")^("&amp;B96&amp;"-"&amp;D96&amp;")</f>
        <v/>
      </c>
      <c r="F96">
        <f>COMBIN(B96,D96)*C96^D96*(1-C96)^(B96-D96)</f>
        <v/>
      </c>
      <c r="G96">
        <f>G95+F96</f>
        <v/>
      </c>
    </row>
    <row r="97">
      <c r="A97" t="inlineStr">
        <is>
          <t>buy100_expert_16</t>
        </is>
      </c>
      <c r="B97" t="n">
        <v>16</v>
      </c>
      <c r="C97" t="n">
        <v>0.64315911</v>
      </c>
      <c r="D97" t="n">
        <v>10</v>
      </c>
      <c r="E97">
        <f>"COMBIN("&amp;B97&amp;","&amp;D97&amp;")*"&amp;C97&amp;"^"&amp;D97&amp;"*(1-"&amp;C97&amp;")^("&amp;B97&amp;"-"&amp;D97&amp;")</f>
        <v/>
      </c>
      <c r="F97">
        <f>COMBIN(B97,D97)*C97^D97*(1-C97)^(B97-D97)</f>
        <v/>
      </c>
      <c r="G97">
        <f>G96+F97</f>
        <v/>
      </c>
    </row>
    <row r="98">
      <c r="A98" t="inlineStr">
        <is>
          <t>buy100_expert_16</t>
        </is>
      </c>
      <c r="B98" t="n">
        <v>16</v>
      </c>
      <c r="C98" t="n">
        <v>0.64315911</v>
      </c>
      <c r="D98" t="n">
        <v>11</v>
      </c>
      <c r="E98">
        <f>"COMBIN("&amp;B98&amp;","&amp;D98&amp;")*"&amp;C98&amp;"^"&amp;D98&amp;"*(1-"&amp;C98&amp;")^("&amp;B98&amp;"-"&amp;D98&amp;")</f>
        <v/>
      </c>
      <c r="F98">
        <f>COMBIN(B98,D98)*C98^D98*(1-C98)^(B98-D98)</f>
        <v/>
      </c>
      <c r="G98">
        <f>G97+F98</f>
        <v/>
      </c>
    </row>
    <row r="99">
      <c r="A99" t="inlineStr">
        <is>
          <t>buy100_expert_16</t>
        </is>
      </c>
      <c r="B99" t="n">
        <v>16</v>
      </c>
      <c r="C99" t="n">
        <v>0.64315911</v>
      </c>
      <c r="D99" t="n">
        <v>12</v>
      </c>
      <c r="E99">
        <f>"COMBIN("&amp;B99&amp;","&amp;D99&amp;")*"&amp;C99&amp;"^"&amp;D99&amp;"*(1-"&amp;C99&amp;")^("&amp;B99&amp;"-"&amp;D99&amp;")</f>
        <v/>
      </c>
      <c r="F99">
        <f>COMBIN(B99,D99)*C99^D99*(1-C99)^(B99-D99)</f>
        <v/>
      </c>
      <c r="G99">
        <f>G98+F99</f>
        <v/>
      </c>
    </row>
    <row r="100">
      <c r="A100" t="inlineStr">
        <is>
          <t>buy100_expert_16</t>
        </is>
      </c>
      <c r="B100" t="n">
        <v>16</v>
      </c>
      <c r="C100" t="n">
        <v>0.64315911</v>
      </c>
      <c r="D100" t="n">
        <v>13</v>
      </c>
      <c r="E100">
        <f>"COMBIN("&amp;B100&amp;","&amp;D100&amp;")*"&amp;C100&amp;"^"&amp;D100&amp;"*(1-"&amp;C100&amp;")^("&amp;B100&amp;"-"&amp;D100&amp;")</f>
        <v/>
      </c>
      <c r="F100">
        <f>COMBIN(B100,D100)*C100^D100*(1-C100)^(B100-D100)</f>
        <v/>
      </c>
      <c r="G100">
        <f>G99+F100</f>
        <v/>
      </c>
    </row>
    <row r="101">
      <c r="A101" t="inlineStr">
        <is>
          <t>buy100_expert_16</t>
        </is>
      </c>
      <c r="B101" t="n">
        <v>16</v>
      </c>
      <c r="C101" t="n">
        <v>0.64315911</v>
      </c>
      <c r="D101" t="n">
        <v>14</v>
      </c>
      <c r="E101">
        <f>"COMBIN("&amp;B101&amp;","&amp;D101&amp;")*"&amp;C101&amp;"^"&amp;D101&amp;"*(1-"&amp;C101&amp;")^("&amp;B101&amp;"-"&amp;D101&amp;")</f>
        <v/>
      </c>
      <c r="F101">
        <f>COMBIN(B101,D101)*C101^D101*(1-C101)^(B101-D101)</f>
        <v/>
      </c>
      <c r="G101">
        <f>G100+F101</f>
        <v/>
      </c>
    </row>
    <row r="102">
      <c r="A102" t="inlineStr">
        <is>
          <t>buy100_expert_16</t>
        </is>
      </c>
      <c r="B102" t="n">
        <v>16</v>
      </c>
      <c r="C102" t="n">
        <v>0.64315911</v>
      </c>
      <c r="D102" t="n">
        <v>15</v>
      </c>
      <c r="E102">
        <f>"COMBIN("&amp;B102&amp;","&amp;D102&amp;")*"&amp;C102&amp;"^"&amp;D102&amp;"*(1-"&amp;C102&amp;")^("&amp;B102&amp;"-"&amp;D102&amp;")</f>
        <v/>
      </c>
      <c r="F102">
        <f>COMBIN(B102,D102)*C102^D102*(1-C102)^(B102-D102)</f>
        <v/>
      </c>
      <c r="G102">
        <f>G101+F102</f>
        <v/>
      </c>
    </row>
    <row r="103">
      <c r="A103" t="inlineStr">
        <is>
          <t>buy100_expert_16</t>
        </is>
      </c>
      <c r="B103" t="n">
        <v>16</v>
      </c>
      <c r="C103" t="n">
        <v>0.64315911</v>
      </c>
      <c r="D103" t="n">
        <v>16</v>
      </c>
      <c r="E103">
        <f>"COMBIN("&amp;B103&amp;","&amp;D103&amp;")*"&amp;C103&amp;"^"&amp;D103&amp;"*(1-"&amp;C103&amp;")^("&amp;B103&amp;"-"&amp;D103&amp;")</f>
        <v/>
      </c>
      <c r="F103">
        <f>COMBIN(B103,D103)*C103^D103*(1-C103)^(B103-D103)</f>
        <v/>
      </c>
      <c r="G103">
        <f>G102+F103</f>
        <v/>
      </c>
    </row>
    <row r="104">
      <c r="A104" t="inlineStr">
        <is>
          <t>buy100_expert_8</t>
        </is>
      </c>
      <c r="B104" t="n">
        <v>8</v>
      </c>
      <c r="C104" t="n">
        <v>0.45167124</v>
      </c>
      <c r="D104" t="n">
        <v>0</v>
      </c>
      <c r="E104">
        <f>"COMBIN("&amp;B104&amp;","&amp;D104&amp;")*"&amp;C104&amp;"^"&amp;D104&amp;"*(1-"&amp;C104&amp;")^("&amp;B104&amp;"-"&amp;D104&amp;")</f>
        <v/>
      </c>
      <c r="F104">
        <f>COMBIN(B104,D104)*C104^D104*(1-C104)^(B104-D104)</f>
        <v/>
      </c>
      <c r="G104">
        <f>F104</f>
        <v/>
      </c>
      <c r="H104">
        <f>SUM(F104:F112)</f>
        <v/>
      </c>
    </row>
    <row r="105">
      <c r="A105" t="inlineStr">
        <is>
          <t>buy100_expert_8</t>
        </is>
      </c>
      <c r="B105" t="n">
        <v>8</v>
      </c>
      <c r="C105" t="n">
        <v>0.45167124</v>
      </c>
      <c r="D105" t="n">
        <v>1</v>
      </c>
      <c r="E105">
        <f>"COMBIN("&amp;B105&amp;","&amp;D105&amp;")*"&amp;C105&amp;"^"&amp;D105&amp;"*(1-"&amp;C105&amp;")^("&amp;B105&amp;"-"&amp;D105&amp;")</f>
        <v/>
      </c>
      <c r="F105">
        <f>COMBIN(B105,D105)*C105^D105*(1-C105)^(B105-D105)</f>
        <v/>
      </c>
      <c r="G105">
        <f>G104+F105</f>
        <v/>
      </c>
    </row>
    <row r="106">
      <c r="A106" t="inlineStr">
        <is>
          <t>buy100_expert_8</t>
        </is>
      </c>
      <c r="B106" t="n">
        <v>8</v>
      </c>
      <c r="C106" t="n">
        <v>0.45167124</v>
      </c>
      <c r="D106" t="n">
        <v>2</v>
      </c>
      <c r="E106">
        <f>"COMBIN("&amp;B106&amp;","&amp;D106&amp;")*"&amp;C106&amp;"^"&amp;D106&amp;"*(1-"&amp;C106&amp;")^("&amp;B106&amp;"-"&amp;D106&amp;")</f>
        <v/>
      </c>
      <c r="F106">
        <f>COMBIN(B106,D106)*C106^D106*(1-C106)^(B106-D106)</f>
        <v/>
      </c>
      <c r="G106">
        <f>G105+F106</f>
        <v/>
      </c>
    </row>
    <row r="107">
      <c r="A107" t="inlineStr">
        <is>
          <t>buy100_expert_8</t>
        </is>
      </c>
      <c r="B107" t="n">
        <v>8</v>
      </c>
      <c r="C107" t="n">
        <v>0.45167124</v>
      </c>
      <c r="D107" t="n">
        <v>3</v>
      </c>
      <c r="E107">
        <f>"COMBIN("&amp;B107&amp;","&amp;D107&amp;")*"&amp;C107&amp;"^"&amp;D107&amp;"*(1-"&amp;C107&amp;")^("&amp;B107&amp;"-"&amp;D107&amp;")</f>
        <v/>
      </c>
      <c r="F107">
        <f>COMBIN(B107,D107)*C107^D107*(1-C107)^(B107-D107)</f>
        <v/>
      </c>
      <c r="G107">
        <f>G106+F107</f>
        <v/>
      </c>
    </row>
    <row r="108">
      <c r="A108" t="inlineStr">
        <is>
          <t>buy100_expert_8</t>
        </is>
      </c>
      <c r="B108" t="n">
        <v>8</v>
      </c>
      <c r="C108" t="n">
        <v>0.45167124</v>
      </c>
      <c r="D108" t="n">
        <v>4</v>
      </c>
      <c r="E108">
        <f>"COMBIN("&amp;B108&amp;","&amp;D108&amp;")*"&amp;C108&amp;"^"&amp;D108&amp;"*(1-"&amp;C108&amp;")^("&amp;B108&amp;"-"&amp;D108&amp;")</f>
        <v/>
      </c>
      <c r="F108">
        <f>COMBIN(B108,D108)*C108^D108*(1-C108)^(B108-D108)</f>
        <v/>
      </c>
      <c r="G108">
        <f>G107+F108</f>
        <v/>
      </c>
    </row>
    <row r="109">
      <c r="A109" t="inlineStr">
        <is>
          <t>buy100_expert_8</t>
        </is>
      </c>
      <c r="B109" t="n">
        <v>8</v>
      </c>
      <c r="C109" t="n">
        <v>0.45167124</v>
      </c>
      <c r="D109" t="n">
        <v>5</v>
      </c>
      <c r="E109">
        <f>"COMBIN("&amp;B109&amp;","&amp;D109&amp;")*"&amp;C109&amp;"^"&amp;D109&amp;"*(1-"&amp;C109&amp;")^("&amp;B109&amp;"-"&amp;D109&amp;")</f>
        <v/>
      </c>
      <c r="F109">
        <f>COMBIN(B109,D109)*C109^D109*(1-C109)^(B109-D109)</f>
        <v/>
      </c>
      <c r="G109">
        <f>G108+F109</f>
        <v/>
      </c>
    </row>
    <row r="110">
      <c r="A110" t="inlineStr">
        <is>
          <t>buy100_expert_8</t>
        </is>
      </c>
      <c r="B110" t="n">
        <v>8</v>
      </c>
      <c r="C110" t="n">
        <v>0.45167124</v>
      </c>
      <c r="D110" t="n">
        <v>6</v>
      </c>
      <c r="E110">
        <f>"COMBIN("&amp;B110&amp;","&amp;D110&amp;")*"&amp;C110&amp;"^"&amp;D110&amp;"*(1-"&amp;C110&amp;")^("&amp;B110&amp;"-"&amp;D110&amp;")</f>
        <v/>
      </c>
      <c r="F110">
        <f>COMBIN(B110,D110)*C110^D110*(1-C110)^(B110-D110)</f>
        <v/>
      </c>
      <c r="G110">
        <f>G109+F110</f>
        <v/>
      </c>
    </row>
    <row r="111">
      <c r="A111" t="inlineStr">
        <is>
          <t>buy100_expert_8</t>
        </is>
      </c>
      <c r="B111" t="n">
        <v>8</v>
      </c>
      <c r="C111" t="n">
        <v>0.45167124</v>
      </c>
      <c r="D111" t="n">
        <v>7</v>
      </c>
      <c r="E111">
        <f>"COMBIN("&amp;B111&amp;","&amp;D111&amp;")*"&amp;C111&amp;"^"&amp;D111&amp;"*(1-"&amp;C111&amp;")^("&amp;B111&amp;"-"&amp;D111&amp;")</f>
        <v/>
      </c>
      <c r="F111">
        <f>COMBIN(B111,D111)*C111^D111*(1-C111)^(B111-D111)</f>
        <v/>
      </c>
      <c r="G111">
        <f>G110+F111</f>
        <v/>
      </c>
    </row>
    <row r="112">
      <c r="A112" t="inlineStr">
        <is>
          <t>buy100_expert_8</t>
        </is>
      </c>
      <c r="B112" t="n">
        <v>8</v>
      </c>
      <c r="C112" t="n">
        <v>0.45167124</v>
      </c>
      <c r="D112" t="n">
        <v>8</v>
      </c>
      <c r="E112">
        <f>"COMBIN("&amp;B112&amp;","&amp;D112&amp;")*"&amp;C112&amp;"^"&amp;D112&amp;"*(1-"&amp;C112&amp;")^("&amp;B112&amp;"-"&amp;D112&amp;")</f>
        <v/>
      </c>
      <c r="F112">
        <f>COMBIN(B112,D112)*C112^D112*(1-C112)^(B112-D112)</f>
        <v/>
      </c>
      <c r="G112">
        <f>G111+F112</f>
        <v/>
      </c>
    </row>
    <row r="113">
      <c r="A113" t="inlineStr">
        <is>
          <t>buy100_expert_9</t>
        </is>
      </c>
      <c r="B113" t="n">
        <v>9</v>
      </c>
      <c r="C113" t="n">
        <v>0.45680177</v>
      </c>
      <c r="D113" t="n">
        <v>0</v>
      </c>
      <c r="E113">
        <f>"COMBIN("&amp;B113&amp;","&amp;D113&amp;")*"&amp;C113&amp;"^"&amp;D113&amp;"*(1-"&amp;C113&amp;")^("&amp;B113&amp;"-"&amp;D113&amp;")</f>
        <v/>
      </c>
      <c r="F113">
        <f>COMBIN(B113,D113)*C113^D113*(1-C113)^(B113-D113)</f>
        <v/>
      </c>
      <c r="G113">
        <f>F113</f>
        <v/>
      </c>
      <c r="H113">
        <f>SUM(F113:F122)</f>
        <v/>
      </c>
    </row>
    <row r="114">
      <c r="A114" t="inlineStr">
        <is>
          <t>buy100_expert_9</t>
        </is>
      </c>
      <c r="B114" t="n">
        <v>9</v>
      </c>
      <c r="C114" t="n">
        <v>0.45680177</v>
      </c>
      <c r="D114" t="n">
        <v>1</v>
      </c>
      <c r="E114">
        <f>"COMBIN("&amp;B114&amp;","&amp;D114&amp;")*"&amp;C114&amp;"^"&amp;D114&amp;"*(1-"&amp;C114&amp;")^("&amp;B114&amp;"-"&amp;D114&amp;")</f>
        <v/>
      </c>
      <c r="F114">
        <f>COMBIN(B114,D114)*C114^D114*(1-C114)^(B114-D114)</f>
        <v/>
      </c>
      <c r="G114">
        <f>G113+F114</f>
        <v/>
      </c>
    </row>
    <row r="115">
      <c r="A115" t="inlineStr">
        <is>
          <t>buy100_expert_9</t>
        </is>
      </c>
      <c r="B115" t="n">
        <v>9</v>
      </c>
      <c r="C115" t="n">
        <v>0.45680177</v>
      </c>
      <c r="D115" t="n">
        <v>2</v>
      </c>
      <c r="E115">
        <f>"COMBIN("&amp;B115&amp;","&amp;D115&amp;")*"&amp;C115&amp;"^"&amp;D115&amp;"*(1-"&amp;C115&amp;")^("&amp;B115&amp;"-"&amp;D115&amp;")</f>
        <v/>
      </c>
      <c r="F115">
        <f>COMBIN(B115,D115)*C115^D115*(1-C115)^(B115-D115)</f>
        <v/>
      </c>
      <c r="G115">
        <f>G114+F115</f>
        <v/>
      </c>
    </row>
    <row r="116">
      <c r="A116" t="inlineStr">
        <is>
          <t>buy100_expert_9</t>
        </is>
      </c>
      <c r="B116" t="n">
        <v>9</v>
      </c>
      <c r="C116" t="n">
        <v>0.45680177</v>
      </c>
      <c r="D116" t="n">
        <v>3</v>
      </c>
      <c r="E116">
        <f>"COMBIN("&amp;B116&amp;","&amp;D116&amp;")*"&amp;C116&amp;"^"&amp;D116&amp;"*(1-"&amp;C116&amp;")^("&amp;B116&amp;"-"&amp;D116&amp;")</f>
        <v/>
      </c>
      <c r="F116">
        <f>COMBIN(B116,D116)*C116^D116*(1-C116)^(B116-D116)</f>
        <v/>
      </c>
      <c r="G116">
        <f>G115+F116</f>
        <v/>
      </c>
    </row>
    <row r="117">
      <c r="A117" t="inlineStr">
        <is>
          <t>buy100_expert_9</t>
        </is>
      </c>
      <c r="B117" t="n">
        <v>9</v>
      </c>
      <c r="C117" t="n">
        <v>0.45680177</v>
      </c>
      <c r="D117" t="n">
        <v>4</v>
      </c>
      <c r="E117">
        <f>"COMBIN("&amp;B117&amp;","&amp;D117&amp;")*"&amp;C117&amp;"^"&amp;D117&amp;"*(1-"&amp;C117&amp;")^("&amp;B117&amp;"-"&amp;D117&amp;")</f>
        <v/>
      </c>
      <c r="F117">
        <f>COMBIN(B117,D117)*C117^D117*(1-C117)^(B117-D117)</f>
        <v/>
      </c>
      <c r="G117">
        <f>G116+F117</f>
        <v/>
      </c>
    </row>
    <row r="118">
      <c r="A118" t="inlineStr">
        <is>
          <t>buy100_expert_9</t>
        </is>
      </c>
      <c r="B118" t="n">
        <v>9</v>
      </c>
      <c r="C118" t="n">
        <v>0.45680177</v>
      </c>
      <c r="D118" t="n">
        <v>5</v>
      </c>
      <c r="E118">
        <f>"COMBIN("&amp;B118&amp;","&amp;D118&amp;")*"&amp;C118&amp;"^"&amp;D118&amp;"*(1-"&amp;C118&amp;")^("&amp;B118&amp;"-"&amp;D118&amp;")</f>
        <v/>
      </c>
      <c r="F118">
        <f>COMBIN(B118,D118)*C118^D118*(1-C118)^(B118-D118)</f>
        <v/>
      </c>
      <c r="G118">
        <f>G117+F118</f>
        <v/>
      </c>
    </row>
    <row r="119">
      <c r="A119" t="inlineStr">
        <is>
          <t>buy100_expert_9</t>
        </is>
      </c>
      <c r="B119" t="n">
        <v>9</v>
      </c>
      <c r="C119" t="n">
        <v>0.45680177</v>
      </c>
      <c r="D119" t="n">
        <v>6</v>
      </c>
      <c r="E119">
        <f>"COMBIN("&amp;B119&amp;","&amp;D119&amp;")*"&amp;C119&amp;"^"&amp;D119&amp;"*(1-"&amp;C119&amp;")^("&amp;B119&amp;"-"&amp;D119&amp;")</f>
        <v/>
      </c>
      <c r="F119">
        <f>COMBIN(B119,D119)*C119^D119*(1-C119)^(B119-D119)</f>
        <v/>
      </c>
      <c r="G119">
        <f>G118+F119</f>
        <v/>
      </c>
    </row>
    <row r="120">
      <c r="A120" t="inlineStr">
        <is>
          <t>buy100_expert_9</t>
        </is>
      </c>
      <c r="B120" t="n">
        <v>9</v>
      </c>
      <c r="C120" t="n">
        <v>0.45680177</v>
      </c>
      <c r="D120" t="n">
        <v>7</v>
      </c>
      <c r="E120">
        <f>"COMBIN("&amp;B120&amp;","&amp;D120&amp;")*"&amp;C120&amp;"^"&amp;D120&amp;"*(1-"&amp;C120&amp;")^("&amp;B120&amp;"-"&amp;D120&amp;")</f>
        <v/>
      </c>
      <c r="F120">
        <f>COMBIN(B120,D120)*C120^D120*(1-C120)^(B120-D120)</f>
        <v/>
      </c>
      <c r="G120">
        <f>G119+F120</f>
        <v/>
      </c>
    </row>
    <row r="121">
      <c r="A121" t="inlineStr">
        <is>
          <t>buy100_expert_9</t>
        </is>
      </c>
      <c r="B121" t="n">
        <v>9</v>
      </c>
      <c r="C121" t="n">
        <v>0.45680177</v>
      </c>
      <c r="D121" t="n">
        <v>8</v>
      </c>
      <c r="E121">
        <f>"COMBIN("&amp;B121&amp;","&amp;D121&amp;")*"&amp;C121&amp;"^"&amp;D121&amp;"*(1-"&amp;C121&amp;")^("&amp;B121&amp;"-"&amp;D121&amp;")</f>
        <v/>
      </c>
      <c r="F121">
        <f>COMBIN(B121,D121)*C121^D121*(1-C121)^(B121-D121)</f>
        <v/>
      </c>
      <c r="G121">
        <f>G120+F121</f>
        <v/>
      </c>
    </row>
    <row r="122">
      <c r="A122" t="inlineStr">
        <is>
          <t>buy100_expert_9</t>
        </is>
      </c>
      <c r="B122" t="n">
        <v>9</v>
      </c>
      <c r="C122" t="n">
        <v>0.45680177</v>
      </c>
      <c r="D122" t="n">
        <v>9</v>
      </c>
      <c r="E122">
        <f>"COMBIN("&amp;B122&amp;","&amp;D122&amp;")*"&amp;C122&amp;"^"&amp;D122&amp;"*(1-"&amp;C122&amp;")^("&amp;B122&amp;"-"&amp;D122&amp;")</f>
        <v/>
      </c>
      <c r="F122">
        <f>COMBIN(B122,D122)*C122^D122*(1-C122)^(B122-D122)</f>
        <v/>
      </c>
      <c r="G122">
        <f>G121+F122</f>
        <v/>
      </c>
    </row>
    <row r="123">
      <c r="A123" t="inlineStr">
        <is>
          <t>buy100_high_10</t>
        </is>
      </c>
      <c r="B123" t="n">
        <v>10</v>
      </c>
      <c r="C123" t="n">
        <v>0.63032353</v>
      </c>
      <c r="D123" t="n">
        <v>0</v>
      </c>
      <c r="E123">
        <f>"COMBIN("&amp;B123&amp;","&amp;D123&amp;")*"&amp;C123&amp;"^"&amp;D123&amp;"*(1-"&amp;C123&amp;")^("&amp;B123&amp;"-"&amp;D123&amp;")</f>
        <v/>
      </c>
      <c r="F123">
        <f>COMBIN(B123,D123)*C123^D123*(1-C123)^(B123-D123)</f>
        <v/>
      </c>
      <c r="G123">
        <f>F123</f>
        <v/>
      </c>
      <c r="H123">
        <f>SUM(F123:F133)</f>
        <v/>
      </c>
    </row>
    <row r="124">
      <c r="A124" t="inlineStr">
        <is>
          <t>buy100_high_10</t>
        </is>
      </c>
      <c r="B124" t="n">
        <v>10</v>
      </c>
      <c r="C124" t="n">
        <v>0.63032353</v>
      </c>
      <c r="D124" t="n">
        <v>1</v>
      </c>
      <c r="E124">
        <f>"COMBIN("&amp;B124&amp;","&amp;D124&amp;")*"&amp;C124&amp;"^"&amp;D124&amp;"*(1-"&amp;C124&amp;")^("&amp;B124&amp;"-"&amp;D124&amp;")</f>
        <v/>
      </c>
      <c r="F124">
        <f>COMBIN(B124,D124)*C124^D124*(1-C124)^(B124-D124)</f>
        <v/>
      </c>
      <c r="G124">
        <f>G123+F124</f>
        <v/>
      </c>
    </row>
    <row r="125">
      <c r="A125" t="inlineStr">
        <is>
          <t>buy100_high_10</t>
        </is>
      </c>
      <c r="B125" t="n">
        <v>10</v>
      </c>
      <c r="C125" t="n">
        <v>0.63032353</v>
      </c>
      <c r="D125" t="n">
        <v>2</v>
      </c>
      <c r="E125">
        <f>"COMBIN("&amp;B125&amp;","&amp;D125&amp;")*"&amp;C125&amp;"^"&amp;D125&amp;"*(1-"&amp;C125&amp;")^("&amp;B125&amp;"-"&amp;D125&amp;")</f>
        <v/>
      </c>
      <c r="F125">
        <f>COMBIN(B125,D125)*C125^D125*(1-C125)^(B125-D125)</f>
        <v/>
      </c>
      <c r="G125">
        <f>G124+F125</f>
        <v/>
      </c>
    </row>
    <row r="126">
      <c r="A126" t="inlineStr">
        <is>
          <t>buy100_high_10</t>
        </is>
      </c>
      <c r="B126" t="n">
        <v>10</v>
      </c>
      <c r="C126" t="n">
        <v>0.63032353</v>
      </c>
      <c r="D126" t="n">
        <v>3</v>
      </c>
      <c r="E126">
        <f>"COMBIN("&amp;B126&amp;","&amp;D126&amp;")*"&amp;C126&amp;"^"&amp;D126&amp;"*(1-"&amp;C126&amp;")^("&amp;B126&amp;"-"&amp;D126&amp;")</f>
        <v/>
      </c>
      <c r="F126">
        <f>COMBIN(B126,D126)*C126^D126*(1-C126)^(B126-D126)</f>
        <v/>
      </c>
      <c r="G126">
        <f>G125+F126</f>
        <v/>
      </c>
    </row>
    <row r="127">
      <c r="A127" t="inlineStr">
        <is>
          <t>buy100_high_10</t>
        </is>
      </c>
      <c r="B127" t="n">
        <v>10</v>
      </c>
      <c r="C127" t="n">
        <v>0.63032353</v>
      </c>
      <c r="D127" t="n">
        <v>4</v>
      </c>
      <c r="E127">
        <f>"COMBIN("&amp;B127&amp;","&amp;D127&amp;")*"&amp;C127&amp;"^"&amp;D127&amp;"*(1-"&amp;C127&amp;")^("&amp;B127&amp;"-"&amp;D127&amp;")</f>
        <v/>
      </c>
      <c r="F127">
        <f>COMBIN(B127,D127)*C127^D127*(1-C127)^(B127-D127)</f>
        <v/>
      </c>
      <c r="G127">
        <f>G126+F127</f>
        <v/>
      </c>
    </row>
    <row r="128">
      <c r="A128" t="inlineStr">
        <is>
          <t>buy100_high_10</t>
        </is>
      </c>
      <c r="B128" t="n">
        <v>10</v>
      </c>
      <c r="C128" t="n">
        <v>0.63032353</v>
      </c>
      <c r="D128" t="n">
        <v>5</v>
      </c>
      <c r="E128">
        <f>"COMBIN("&amp;B128&amp;","&amp;D128&amp;")*"&amp;C128&amp;"^"&amp;D128&amp;"*(1-"&amp;C128&amp;")^("&amp;B128&amp;"-"&amp;D128&amp;")</f>
        <v/>
      </c>
      <c r="F128">
        <f>COMBIN(B128,D128)*C128^D128*(1-C128)^(B128-D128)</f>
        <v/>
      </c>
      <c r="G128">
        <f>G127+F128</f>
        <v/>
      </c>
    </row>
    <row r="129">
      <c r="A129" t="inlineStr">
        <is>
          <t>buy100_high_10</t>
        </is>
      </c>
      <c r="B129" t="n">
        <v>10</v>
      </c>
      <c r="C129" t="n">
        <v>0.63032353</v>
      </c>
      <c r="D129" t="n">
        <v>6</v>
      </c>
      <c r="E129">
        <f>"COMBIN("&amp;B129&amp;","&amp;D129&amp;")*"&amp;C129&amp;"^"&amp;D129&amp;"*(1-"&amp;C129&amp;")^("&amp;B129&amp;"-"&amp;D129&amp;")</f>
        <v/>
      </c>
      <c r="F129">
        <f>COMBIN(B129,D129)*C129^D129*(1-C129)^(B129-D129)</f>
        <v/>
      </c>
      <c r="G129">
        <f>G128+F129</f>
        <v/>
      </c>
    </row>
    <row r="130">
      <c r="A130" t="inlineStr">
        <is>
          <t>buy100_high_10</t>
        </is>
      </c>
      <c r="B130" t="n">
        <v>10</v>
      </c>
      <c r="C130" t="n">
        <v>0.63032353</v>
      </c>
      <c r="D130" t="n">
        <v>7</v>
      </c>
      <c r="E130">
        <f>"COMBIN("&amp;B130&amp;","&amp;D130&amp;")*"&amp;C130&amp;"^"&amp;D130&amp;"*(1-"&amp;C130&amp;")^("&amp;B130&amp;"-"&amp;D130&amp;")</f>
        <v/>
      </c>
      <c r="F130">
        <f>COMBIN(B130,D130)*C130^D130*(1-C130)^(B130-D130)</f>
        <v/>
      </c>
      <c r="G130">
        <f>G129+F130</f>
        <v/>
      </c>
    </row>
    <row r="131">
      <c r="A131" t="inlineStr">
        <is>
          <t>buy100_high_10</t>
        </is>
      </c>
      <c r="B131" t="n">
        <v>10</v>
      </c>
      <c r="C131" t="n">
        <v>0.63032353</v>
      </c>
      <c r="D131" t="n">
        <v>8</v>
      </c>
      <c r="E131">
        <f>"COMBIN("&amp;B131&amp;","&amp;D131&amp;")*"&amp;C131&amp;"^"&amp;D131&amp;"*(1-"&amp;C131&amp;")^("&amp;B131&amp;"-"&amp;D131&amp;")</f>
        <v/>
      </c>
      <c r="F131">
        <f>COMBIN(B131,D131)*C131^D131*(1-C131)^(B131-D131)</f>
        <v/>
      </c>
      <c r="G131">
        <f>G130+F131</f>
        <v/>
      </c>
    </row>
    <row r="132">
      <c r="A132" t="inlineStr">
        <is>
          <t>buy100_high_10</t>
        </is>
      </c>
      <c r="B132" t="n">
        <v>10</v>
      </c>
      <c r="C132" t="n">
        <v>0.63032353</v>
      </c>
      <c r="D132" t="n">
        <v>9</v>
      </c>
      <c r="E132">
        <f>"COMBIN("&amp;B132&amp;","&amp;D132&amp;")*"&amp;C132&amp;"^"&amp;D132&amp;"*(1-"&amp;C132&amp;")^("&amp;B132&amp;"-"&amp;D132&amp;")</f>
        <v/>
      </c>
      <c r="F132">
        <f>COMBIN(B132,D132)*C132^D132*(1-C132)^(B132-D132)</f>
        <v/>
      </c>
      <c r="G132">
        <f>G131+F132</f>
        <v/>
      </c>
    </row>
    <row r="133">
      <c r="A133" t="inlineStr">
        <is>
          <t>buy100_high_10</t>
        </is>
      </c>
      <c r="B133" t="n">
        <v>10</v>
      </c>
      <c r="C133" t="n">
        <v>0.63032353</v>
      </c>
      <c r="D133" t="n">
        <v>10</v>
      </c>
      <c r="E133">
        <f>"COMBIN("&amp;B133&amp;","&amp;D133&amp;")*"&amp;C133&amp;"^"&amp;D133&amp;"*(1-"&amp;C133&amp;")^("&amp;B133&amp;"-"&amp;D133&amp;")</f>
        <v/>
      </c>
      <c r="F133">
        <f>COMBIN(B133,D133)*C133^D133*(1-C133)^(B133-D133)</f>
        <v/>
      </c>
      <c r="G133">
        <f>G132+F133</f>
        <v/>
      </c>
    </row>
    <row r="134">
      <c r="A134" t="inlineStr">
        <is>
          <t>buy100_high_11</t>
        </is>
      </c>
      <c r="B134" t="n">
        <v>11</v>
      </c>
      <c r="C134" t="n">
        <v>0.63871585</v>
      </c>
      <c r="D134" t="n">
        <v>0</v>
      </c>
      <c r="E134">
        <f>"COMBIN("&amp;B134&amp;","&amp;D134&amp;")*"&amp;C134&amp;"^"&amp;D134&amp;"*(1-"&amp;C134&amp;")^("&amp;B134&amp;"-"&amp;D134&amp;")</f>
        <v/>
      </c>
      <c r="F134">
        <f>COMBIN(B134,D134)*C134^D134*(1-C134)^(B134-D134)</f>
        <v/>
      </c>
      <c r="G134">
        <f>F134</f>
        <v/>
      </c>
      <c r="H134">
        <f>SUM(F134:F145)</f>
        <v/>
      </c>
    </row>
    <row r="135">
      <c r="A135" t="inlineStr">
        <is>
          <t>buy100_high_11</t>
        </is>
      </c>
      <c r="B135" t="n">
        <v>11</v>
      </c>
      <c r="C135" t="n">
        <v>0.63871585</v>
      </c>
      <c r="D135" t="n">
        <v>1</v>
      </c>
      <c r="E135">
        <f>"COMBIN("&amp;B135&amp;","&amp;D135&amp;")*"&amp;C135&amp;"^"&amp;D135&amp;"*(1-"&amp;C135&amp;")^("&amp;B135&amp;"-"&amp;D135&amp;")</f>
        <v/>
      </c>
      <c r="F135">
        <f>COMBIN(B135,D135)*C135^D135*(1-C135)^(B135-D135)</f>
        <v/>
      </c>
      <c r="G135">
        <f>G134+F135</f>
        <v/>
      </c>
    </row>
    <row r="136">
      <c r="A136" t="inlineStr">
        <is>
          <t>buy100_high_11</t>
        </is>
      </c>
      <c r="B136" t="n">
        <v>11</v>
      </c>
      <c r="C136" t="n">
        <v>0.63871585</v>
      </c>
      <c r="D136" t="n">
        <v>2</v>
      </c>
      <c r="E136">
        <f>"COMBIN("&amp;B136&amp;","&amp;D136&amp;")*"&amp;C136&amp;"^"&amp;D136&amp;"*(1-"&amp;C136&amp;")^("&amp;B136&amp;"-"&amp;D136&amp;")</f>
        <v/>
      </c>
      <c r="F136">
        <f>COMBIN(B136,D136)*C136^D136*(1-C136)^(B136-D136)</f>
        <v/>
      </c>
      <c r="G136">
        <f>G135+F136</f>
        <v/>
      </c>
    </row>
    <row r="137">
      <c r="A137" t="inlineStr">
        <is>
          <t>buy100_high_11</t>
        </is>
      </c>
      <c r="B137" t="n">
        <v>11</v>
      </c>
      <c r="C137" t="n">
        <v>0.63871585</v>
      </c>
      <c r="D137" t="n">
        <v>3</v>
      </c>
      <c r="E137">
        <f>"COMBIN("&amp;B137&amp;","&amp;D137&amp;")*"&amp;C137&amp;"^"&amp;D137&amp;"*(1-"&amp;C137&amp;")^("&amp;B137&amp;"-"&amp;D137&amp;")</f>
        <v/>
      </c>
      <c r="F137">
        <f>COMBIN(B137,D137)*C137^D137*(1-C137)^(B137-D137)</f>
        <v/>
      </c>
      <c r="G137">
        <f>G136+F137</f>
        <v/>
      </c>
    </row>
    <row r="138">
      <c r="A138" t="inlineStr">
        <is>
          <t>buy100_high_11</t>
        </is>
      </c>
      <c r="B138" t="n">
        <v>11</v>
      </c>
      <c r="C138" t="n">
        <v>0.63871585</v>
      </c>
      <c r="D138" t="n">
        <v>4</v>
      </c>
      <c r="E138">
        <f>"COMBIN("&amp;B138&amp;","&amp;D138&amp;")*"&amp;C138&amp;"^"&amp;D138&amp;"*(1-"&amp;C138&amp;")^("&amp;B138&amp;"-"&amp;D138&amp;")</f>
        <v/>
      </c>
      <c r="F138">
        <f>COMBIN(B138,D138)*C138^D138*(1-C138)^(B138-D138)</f>
        <v/>
      </c>
      <c r="G138">
        <f>G137+F138</f>
        <v/>
      </c>
    </row>
    <row r="139">
      <c r="A139" t="inlineStr">
        <is>
          <t>buy100_high_11</t>
        </is>
      </c>
      <c r="B139" t="n">
        <v>11</v>
      </c>
      <c r="C139" t="n">
        <v>0.63871585</v>
      </c>
      <c r="D139" t="n">
        <v>5</v>
      </c>
      <c r="E139">
        <f>"COMBIN("&amp;B139&amp;","&amp;D139&amp;")*"&amp;C139&amp;"^"&amp;D139&amp;"*(1-"&amp;C139&amp;")^("&amp;B139&amp;"-"&amp;D139&amp;")</f>
        <v/>
      </c>
      <c r="F139">
        <f>COMBIN(B139,D139)*C139^D139*(1-C139)^(B139-D139)</f>
        <v/>
      </c>
      <c r="G139">
        <f>G138+F139</f>
        <v/>
      </c>
    </row>
    <row r="140">
      <c r="A140" t="inlineStr">
        <is>
          <t>buy100_high_11</t>
        </is>
      </c>
      <c r="B140" t="n">
        <v>11</v>
      </c>
      <c r="C140" t="n">
        <v>0.63871585</v>
      </c>
      <c r="D140" t="n">
        <v>6</v>
      </c>
      <c r="E140">
        <f>"COMBIN("&amp;B140&amp;","&amp;D140&amp;")*"&amp;C140&amp;"^"&amp;D140&amp;"*(1-"&amp;C140&amp;")^("&amp;B140&amp;"-"&amp;D140&amp;")</f>
        <v/>
      </c>
      <c r="F140">
        <f>COMBIN(B140,D140)*C140^D140*(1-C140)^(B140-D140)</f>
        <v/>
      </c>
      <c r="G140">
        <f>G139+F140</f>
        <v/>
      </c>
    </row>
    <row r="141">
      <c r="A141" t="inlineStr">
        <is>
          <t>buy100_high_11</t>
        </is>
      </c>
      <c r="B141" t="n">
        <v>11</v>
      </c>
      <c r="C141" t="n">
        <v>0.63871585</v>
      </c>
      <c r="D141" t="n">
        <v>7</v>
      </c>
      <c r="E141">
        <f>"COMBIN("&amp;B141&amp;","&amp;D141&amp;")*"&amp;C141&amp;"^"&amp;D141&amp;"*(1-"&amp;C141&amp;")^("&amp;B141&amp;"-"&amp;D141&amp;")</f>
        <v/>
      </c>
      <c r="F141">
        <f>COMBIN(B141,D141)*C141^D141*(1-C141)^(B141-D141)</f>
        <v/>
      </c>
      <c r="G141">
        <f>G140+F141</f>
        <v/>
      </c>
    </row>
    <row r="142">
      <c r="A142" t="inlineStr">
        <is>
          <t>buy100_high_11</t>
        </is>
      </c>
      <c r="B142" t="n">
        <v>11</v>
      </c>
      <c r="C142" t="n">
        <v>0.63871585</v>
      </c>
      <c r="D142" t="n">
        <v>8</v>
      </c>
      <c r="E142">
        <f>"COMBIN("&amp;B142&amp;","&amp;D142&amp;")*"&amp;C142&amp;"^"&amp;D142&amp;"*(1-"&amp;C142&amp;")^("&amp;B142&amp;"-"&amp;D142&amp;")</f>
        <v/>
      </c>
      <c r="F142">
        <f>COMBIN(B142,D142)*C142^D142*(1-C142)^(B142-D142)</f>
        <v/>
      </c>
      <c r="G142">
        <f>G141+F142</f>
        <v/>
      </c>
    </row>
    <row r="143">
      <c r="A143" t="inlineStr">
        <is>
          <t>buy100_high_11</t>
        </is>
      </c>
      <c r="B143" t="n">
        <v>11</v>
      </c>
      <c r="C143" t="n">
        <v>0.63871585</v>
      </c>
      <c r="D143" t="n">
        <v>9</v>
      </c>
      <c r="E143">
        <f>"COMBIN("&amp;B143&amp;","&amp;D143&amp;")*"&amp;C143&amp;"^"&amp;D143&amp;"*(1-"&amp;C143&amp;")^("&amp;B143&amp;"-"&amp;D143&amp;")</f>
        <v/>
      </c>
      <c r="F143">
        <f>COMBIN(B143,D143)*C143^D143*(1-C143)^(B143-D143)</f>
        <v/>
      </c>
      <c r="G143">
        <f>G142+F143</f>
        <v/>
      </c>
    </row>
    <row r="144">
      <c r="A144" t="inlineStr">
        <is>
          <t>buy100_high_11</t>
        </is>
      </c>
      <c r="B144" t="n">
        <v>11</v>
      </c>
      <c r="C144" t="n">
        <v>0.63871585</v>
      </c>
      <c r="D144" t="n">
        <v>10</v>
      </c>
      <c r="E144">
        <f>"COMBIN("&amp;B144&amp;","&amp;D144&amp;")*"&amp;C144&amp;"^"&amp;D144&amp;"*(1-"&amp;C144&amp;")^("&amp;B144&amp;"-"&amp;D144&amp;")</f>
        <v/>
      </c>
      <c r="F144">
        <f>COMBIN(B144,D144)*C144^D144*(1-C144)^(B144-D144)</f>
        <v/>
      </c>
      <c r="G144">
        <f>G143+F144</f>
        <v/>
      </c>
    </row>
    <row r="145">
      <c r="A145" t="inlineStr">
        <is>
          <t>buy100_high_11</t>
        </is>
      </c>
      <c r="B145" t="n">
        <v>11</v>
      </c>
      <c r="C145" t="n">
        <v>0.63871585</v>
      </c>
      <c r="D145" t="n">
        <v>11</v>
      </c>
      <c r="E145">
        <f>"COMBIN("&amp;B145&amp;","&amp;D145&amp;")*"&amp;C145&amp;"^"&amp;D145&amp;"*(1-"&amp;C145&amp;")^("&amp;B145&amp;"-"&amp;D145&amp;")</f>
        <v/>
      </c>
      <c r="F145">
        <f>COMBIN(B145,D145)*C145^D145*(1-C145)^(B145-D145)</f>
        <v/>
      </c>
      <c r="G145">
        <f>G144+F145</f>
        <v/>
      </c>
    </row>
    <row r="146">
      <c r="A146" t="inlineStr">
        <is>
          <t>buy100_high_12</t>
        </is>
      </c>
      <c r="B146" t="n">
        <v>12</v>
      </c>
      <c r="C146" t="n">
        <v>0.64405206</v>
      </c>
      <c r="D146" t="n">
        <v>0</v>
      </c>
      <c r="E146">
        <f>"COMBIN("&amp;B146&amp;","&amp;D146&amp;")*"&amp;C146&amp;"^"&amp;D146&amp;"*(1-"&amp;C146&amp;")^("&amp;B146&amp;"-"&amp;D146&amp;")</f>
        <v/>
      </c>
      <c r="F146">
        <f>COMBIN(B146,D146)*C146^D146*(1-C146)^(B146-D146)</f>
        <v/>
      </c>
      <c r="G146">
        <f>F146</f>
        <v/>
      </c>
      <c r="H146">
        <f>SUM(F146:F158)</f>
        <v/>
      </c>
    </row>
    <row r="147">
      <c r="A147" t="inlineStr">
        <is>
          <t>buy100_high_12</t>
        </is>
      </c>
      <c r="B147" t="n">
        <v>12</v>
      </c>
      <c r="C147" t="n">
        <v>0.64405206</v>
      </c>
      <c r="D147" t="n">
        <v>1</v>
      </c>
      <c r="E147">
        <f>"COMBIN("&amp;B147&amp;","&amp;D147&amp;")*"&amp;C147&amp;"^"&amp;D147&amp;"*(1-"&amp;C147&amp;")^("&amp;B147&amp;"-"&amp;D147&amp;")</f>
        <v/>
      </c>
      <c r="F147">
        <f>COMBIN(B147,D147)*C147^D147*(1-C147)^(B147-D147)</f>
        <v/>
      </c>
      <c r="G147">
        <f>G146+F147</f>
        <v/>
      </c>
    </row>
    <row r="148">
      <c r="A148" t="inlineStr">
        <is>
          <t>buy100_high_12</t>
        </is>
      </c>
      <c r="B148" t="n">
        <v>12</v>
      </c>
      <c r="C148" t="n">
        <v>0.64405206</v>
      </c>
      <c r="D148" t="n">
        <v>2</v>
      </c>
      <c r="E148">
        <f>"COMBIN("&amp;B148&amp;","&amp;D148&amp;")*"&amp;C148&amp;"^"&amp;D148&amp;"*(1-"&amp;C148&amp;")^("&amp;B148&amp;"-"&amp;D148&amp;")</f>
        <v/>
      </c>
      <c r="F148">
        <f>COMBIN(B148,D148)*C148^D148*(1-C148)^(B148-D148)</f>
        <v/>
      </c>
      <c r="G148">
        <f>G147+F148</f>
        <v/>
      </c>
    </row>
    <row r="149">
      <c r="A149" t="inlineStr">
        <is>
          <t>buy100_high_12</t>
        </is>
      </c>
      <c r="B149" t="n">
        <v>12</v>
      </c>
      <c r="C149" t="n">
        <v>0.64405206</v>
      </c>
      <c r="D149" t="n">
        <v>3</v>
      </c>
      <c r="E149">
        <f>"COMBIN("&amp;B149&amp;","&amp;D149&amp;")*"&amp;C149&amp;"^"&amp;D149&amp;"*(1-"&amp;C149&amp;")^("&amp;B149&amp;"-"&amp;D149&amp;")</f>
        <v/>
      </c>
      <c r="F149">
        <f>COMBIN(B149,D149)*C149^D149*(1-C149)^(B149-D149)</f>
        <v/>
      </c>
      <c r="G149">
        <f>G148+F149</f>
        <v/>
      </c>
    </row>
    <row r="150">
      <c r="A150" t="inlineStr">
        <is>
          <t>buy100_high_12</t>
        </is>
      </c>
      <c r="B150" t="n">
        <v>12</v>
      </c>
      <c r="C150" t="n">
        <v>0.64405206</v>
      </c>
      <c r="D150" t="n">
        <v>4</v>
      </c>
      <c r="E150">
        <f>"COMBIN("&amp;B150&amp;","&amp;D150&amp;")*"&amp;C150&amp;"^"&amp;D150&amp;"*(1-"&amp;C150&amp;")^("&amp;B150&amp;"-"&amp;D150&amp;")</f>
        <v/>
      </c>
      <c r="F150">
        <f>COMBIN(B150,D150)*C150^D150*(1-C150)^(B150-D150)</f>
        <v/>
      </c>
      <c r="G150">
        <f>G149+F150</f>
        <v/>
      </c>
    </row>
    <row r="151">
      <c r="A151" t="inlineStr">
        <is>
          <t>buy100_high_12</t>
        </is>
      </c>
      <c r="B151" t="n">
        <v>12</v>
      </c>
      <c r="C151" t="n">
        <v>0.64405206</v>
      </c>
      <c r="D151" t="n">
        <v>5</v>
      </c>
      <c r="E151">
        <f>"COMBIN("&amp;B151&amp;","&amp;D151&amp;")*"&amp;C151&amp;"^"&amp;D151&amp;"*(1-"&amp;C151&amp;")^("&amp;B151&amp;"-"&amp;D151&amp;")</f>
        <v/>
      </c>
      <c r="F151">
        <f>COMBIN(B151,D151)*C151^D151*(1-C151)^(B151-D151)</f>
        <v/>
      </c>
      <c r="G151">
        <f>G150+F151</f>
        <v/>
      </c>
    </row>
    <row r="152">
      <c r="A152" t="inlineStr">
        <is>
          <t>buy100_high_12</t>
        </is>
      </c>
      <c r="B152" t="n">
        <v>12</v>
      </c>
      <c r="C152" t="n">
        <v>0.64405206</v>
      </c>
      <c r="D152" t="n">
        <v>6</v>
      </c>
      <c r="E152">
        <f>"COMBIN("&amp;B152&amp;","&amp;D152&amp;")*"&amp;C152&amp;"^"&amp;D152&amp;"*(1-"&amp;C152&amp;")^("&amp;B152&amp;"-"&amp;D152&amp;")</f>
        <v/>
      </c>
      <c r="F152">
        <f>COMBIN(B152,D152)*C152^D152*(1-C152)^(B152-D152)</f>
        <v/>
      </c>
      <c r="G152">
        <f>G151+F152</f>
        <v/>
      </c>
    </row>
    <row r="153">
      <c r="A153" t="inlineStr">
        <is>
          <t>buy100_high_12</t>
        </is>
      </c>
      <c r="B153" t="n">
        <v>12</v>
      </c>
      <c r="C153" t="n">
        <v>0.64405206</v>
      </c>
      <c r="D153" t="n">
        <v>7</v>
      </c>
      <c r="E153">
        <f>"COMBIN("&amp;B153&amp;","&amp;D153&amp;")*"&amp;C153&amp;"^"&amp;D153&amp;"*(1-"&amp;C153&amp;")^("&amp;B153&amp;"-"&amp;D153&amp;")</f>
        <v/>
      </c>
      <c r="F153">
        <f>COMBIN(B153,D153)*C153^D153*(1-C153)^(B153-D153)</f>
        <v/>
      </c>
      <c r="G153">
        <f>G152+F153</f>
        <v/>
      </c>
    </row>
    <row r="154">
      <c r="A154" t="inlineStr">
        <is>
          <t>buy100_high_12</t>
        </is>
      </c>
      <c r="B154" t="n">
        <v>12</v>
      </c>
      <c r="C154" t="n">
        <v>0.64405206</v>
      </c>
      <c r="D154" t="n">
        <v>8</v>
      </c>
      <c r="E154">
        <f>"COMBIN("&amp;B154&amp;","&amp;D154&amp;")*"&amp;C154&amp;"^"&amp;D154&amp;"*(1-"&amp;C154&amp;")^("&amp;B154&amp;"-"&amp;D154&amp;")</f>
        <v/>
      </c>
      <c r="F154">
        <f>COMBIN(B154,D154)*C154^D154*(1-C154)^(B154-D154)</f>
        <v/>
      </c>
      <c r="G154">
        <f>G153+F154</f>
        <v/>
      </c>
    </row>
    <row r="155">
      <c r="A155" t="inlineStr">
        <is>
          <t>buy100_high_12</t>
        </is>
      </c>
      <c r="B155" t="n">
        <v>12</v>
      </c>
      <c r="C155" t="n">
        <v>0.64405206</v>
      </c>
      <c r="D155" t="n">
        <v>9</v>
      </c>
      <c r="E155">
        <f>"COMBIN("&amp;B155&amp;","&amp;D155&amp;")*"&amp;C155&amp;"^"&amp;D155&amp;"*(1-"&amp;C155&amp;")^("&amp;B155&amp;"-"&amp;D155&amp;")</f>
        <v/>
      </c>
      <c r="F155">
        <f>COMBIN(B155,D155)*C155^D155*(1-C155)^(B155-D155)</f>
        <v/>
      </c>
      <c r="G155">
        <f>G154+F155</f>
        <v/>
      </c>
    </row>
    <row r="156">
      <c r="A156" t="inlineStr">
        <is>
          <t>buy100_high_12</t>
        </is>
      </c>
      <c r="B156" t="n">
        <v>12</v>
      </c>
      <c r="C156" t="n">
        <v>0.64405206</v>
      </c>
      <c r="D156" t="n">
        <v>10</v>
      </c>
      <c r="E156">
        <f>"COMBIN("&amp;B156&amp;","&amp;D156&amp;")*"&amp;C156&amp;"^"&amp;D156&amp;"*(1-"&amp;C156&amp;")^("&amp;B156&amp;"-"&amp;D156&amp;")</f>
        <v/>
      </c>
      <c r="F156">
        <f>COMBIN(B156,D156)*C156^D156*(1-C156)^(B156-D156)</f>
        <v/>
      </c>
      <c r="G156">
        <f>G155+F156</f>
        <v/>
      </c>
    </row>
    <row r="157">
      <c r="A157" t="inlineStr">
        <is>
          <t>buy100_high_12</t>
        </is>
      </c>
      <c r="B157" t="n">
        <v>12</v>
      </c>
      <c r="C157" t="n">
        <v>0.64405206</v>
      </c>
      <c r="D157" t="n">
        <v>11</v>
      </c>
      <c r="E157">
        <f>"COMBIN("&amp;B157&amp;","&amp;D157&amp;")*"&amp;C157&amp;"^"&amp;D157&amp;"*(1-"&amp;C157&amp;")^("&amp;B157&amp;"-"&amp;D157&amp;")</f>
        <v/>
      </c>
      <c r="F157">
        <f>COMBIN(B157,D157)*C157^D157*(1-C157)^(B157-D157)</f>
        <v/>
      </c>
      <c r="G157">
        <f>G156+F157</f>
        <v/>
      </c>
    </row>
    <row r="158">
      <c r="A158" t="inlineStr">
        <is>
          <t>buy100_high_12</t>
        </is>
      </c>
      <c r="B158" t="n">
        <v>12</v>
      </c>
      <c r="C158" t="n">
        <v>0.64405206</v>
      </c>
      <c r="D158" t="n">
        <v>12</v>
      </c>
      <c r="E158">
        <f>"COMBIN("&amp;B158&amp;","&amp;D158&amp;")*"&amp;C158&amp;"^"&amp;D158&amp;"*(1-"&amp;C158&amp;")^("&amp;B158&amp;"-"&amp;D158&amp;")</f>
        <v/>
      </c>
      <c r="F158">
        <f>COMBIN(B158,D158)*C158^D158*(1-C158)^(B158-D158)</f>
        <v/>
      </c>
      <c r="G158">
        <f>G157+F158</f>
        <v/>
      </c>
    </row>
    <row r="159">
      <c r="A159" t="inlineStr">
        <is>
          <t>buy100_high_13</t>
        </is>
      </c>
      <c r="B159" t="n">
        <v>13</v>
      </c>
      <c r="C159" t="n">
        <v>0.64479564</v>
      </c>
      <c r="D159" t="n">
        <v>0</v>
      </c>
      <c r="E159">
        <f>"COMBIN("&amp;B159&amp;","&amp;D159&amp;")*"&amp;C159&amp;"^"&amp;D159&amp;"*(1-"&amp;C159&amp;")^("&amp;B159&amp;"-"&amp;D159&amp;")</f>
        <v/>
      </c>
      <c r="F159">
        <f>COMBIN(B159,D159)*C159^D159*(1-C159)^(B159-D159)</f>
        <v/>
      </c>
      <c r="G159">
        <f>F159</f>
        <v/>
      </c>
      <c r="H159">
        <f>SUM(F159:F172)</f>
        <v/>
      </c>
    </row>
    <row r="160">
      <c r="A160" t="inlineStr">
        <is>
          <t>buy100_high_13</t>
        </is>
      </c>
      <c r="B160" t="n">
        <v>13</v>
      </c>
      <c r="C160" t="n">
        <v>0.64479564</v>
      </c>
      <c r="D160" t="n">
        <v>1</v>
      </c>
      <c r="E160">
        <f>"COMBIN("&amp;B160&amp;","&amp;D160&amp;")*"&amp;C160&amp;"^"&amp;D160&amp;"*(1-"&amp;C160&amp;")^("&amp;B160&amp;"-"&amp;D160&amp;")</f>
        <v/>
      </c>
      <c r="F160">
        <f>COMBIN(B160,D160)*C160^D160*(1-C160)^(B160-D160)</f>
        <v/>
      </c>
      <c r="G160">
        <f>G159+F160</f>
        <v/>
      </c>
    </row>
    <row r="161">
      <c r="A161" t="inlineStr">
        <is>
          <t>buy100_high_13</t>
        </is>
      </c>
      <c r="B161" t="n">
        <v>13</v>
      </c>
      <c r="C161" t="n">
        <v>0.64479564</v>
      </c>
      <c r="D161" t="n">
        <v>2</v>
      </c>
      <c r="E161">
        <f>"COMBIN("&amp;B161&amp;","&amp;D161&amp;")*"&amp;C161&amp;"^"&amp;D161&amp;"*(1-"&amp;C161&amp;")^("&amp;B161&amp;"-"&amp;D161&amp;")</f>
        <v/>
      </c>
      <c r="F161">
        <f>COMBIN(B161,D161)*C161^D161*(1-C161)^(B161-D161)</f>
        <v/>
      </c>
      <c r="G161">
        <f>G160+F161</f>
        <v/>
      </c>
    </row>
    <row r="162">
      <c r="A162" t="inlineStr">
        <is>
          <t>buy100_high_13</t>
        </is>
      </c>
      <c r="B162" t="n">
        <v>13</v>
      </c>
      <c r="C162" t="n">
        <v>0.64479564</v>
      </c>
      <c r="D162" t="n">
        <v>3</v>
      </c>
      <c r="E162">
        <f>"COMBIN("&amp;B162&amp;","&amp;D162&amp;")*"&amp;C162&amp;"^"&amp;D162&amp;"*(1-"&amp;C162&amp;")^("&amp;B162&amp;"-"&amp;D162&amp;")</f>
        <v/>
      </c>
      <c r="F162">
        <f>COMBIN(B162,D162)*C162^D162*(1-C162)^(B162-D162)</f>
        <v/>
      </c>
      <c r="G162">
        <f>G161+F162</f>
        <v/>
      </c>
    </row>
    <row r="163">
      <c r="A163" t="inlineStr">
        <is>
          <t>buy100_high_13</t>
        </is>
      </c>
      <c r="B163" t="n">
        <v>13</v>
      </c>
      <c r="C163" t="n">
        <v>0.64479564</v>
      </c>
      <c r="D163" t="n">
        <v>4</v>
      </c>
      <c r="E163">
        <f>"COMBIN("&amp;B163&amp;","&amp;D163&amp;")*"&amp;C163&amp;"^"&amp;D163&amp;"*(1-"&amp;C163&amp;")^("&amp;B163&amp;"-"&amp;D163&amp;")</f>
        <v/>
      </c>
      <c r="F163">
        <f>COMBIN(B163,D163)*C163^D163*(1-C163)^(B163-D163)</f>
        <v/>
      </c>
      <c r="G163">
        <f>G162+F163</f>
        <v/>
      </c>
    </row>
    <row r="164">
      <c r="A164" t="inlineStr">
        <is>
          <t>buy100_high_13</t>
        </is>
      </c>
      <c r="B164" t="n">
        <v>13</v>
      </c>
      <c r="C164" t="n">
        <v>0.64479564</v>
      </c>
      <c r="D164" t="n">
        <v>5</v>
      </c>
      <c r="E164">
        <f>"COMBIN("&amp;B164&amp;","&amp;D164&amp;")*"&amp;C164&amp;"^"&amp;D164&amp;"*(1-"&amp;C164&amp;")^("&amp;B164&amp;"-"&amp;D164&amp;")</f>
        <v/>
      </c>
      <c r="F164">
        <f>COMBIN(B164,D164)*C164^D164*(1-C164)^(B164-D164)</f>
        <v/>
      </c>
      <c r="G164">
        <f>G163+F164</f>
        <v/>
      </c>
    </row>
    <row r="165">
      <c r="A165" t="inlineStr">
        <is>
          <t>buy100_high_13</t>
        </is>
      </c>
      <c r="B165" t="n">
        <v>13</v>
      </c>
      <c r="C165" t="n">
        <v>0.64479564</v>
      </c>
      <c r="D165" t="n">
        <v>6</v>
      </c>
      <c r="E165">
        <f>"COMBIN("&amp;B165&amp;","&amp;D165&amp;")*"&amp;C165&amp;"^"&amp;D165&amp;"*(1-"&amp;C165&amp;")^("&amp;B165&amp;"-"&amp;D165&amp;")</f>
        <v/>
      </c>
      <c r="F165">
        <f>COMBIN(B165,D165)*C165^D165*(1-C165)^(B165-D165)</f>
        <v/>
      </c>
      <c r="G165">
        <f>G164+F165</f>
        <v/>
      </c>
    </row>
    <row r="166">
      <c r="A166" t="inlineStr">
        <is>
          <t>buy100_high_13</t>
        </is>
      </c>
      <c r="B166" t="n">
        <v>13</v>
      </c>
      <c r="C166" t="n">
        <v>0.64479564</v>
      </c>
      <c r="D166" t="n">
        <v>7</v>
      </c>
      <c r="E166">
        <f>"COMBIN("&amp;B166&amp;","&amp;D166&amp;")*"&amp;C166&amp;"^"&amp;D166&amp;"*(1-"&amp;C166&amp;")^("&amp;B166&amp;"-"&amp;D166&amp;")</f>
        <v/>
      </c>
      <c r="F166">
        <f>COMBIN(B166,D166)*C166^D166*(1-C166)^(B166-D166)</f>
        <v/>
      </c>
      <c r="G166">
        <f>G165+F166</f>
        <v/>
      </c>
    </row>
    <row r="167">
      <c r="A167" t="inlineStr">
        <is>
          <t>buy100_high_13</t>
        </is>
      </c>
      <c r="B167" t="n">
        <v>13</v>
      </c>
      <c r="C167" t="n">
        <v>0.64479564</v>
      </c>
      <c r="D167" t="n">
        <v>8</v>
      </c>
      <c r="E167">
        <f>"COMBIN("&amp;B167&amp;","&amp;D167&amp;")*"&amp;C167&amp;"^"&amp;D167&amp;"*(1-"&amp;C167&amp;")^("&amp;B167&amp;"-"&amp;D167&amp;")</f>
        <v/>
      </c>
      <c r="F167">
        <f>COMBIN(B167,D167)*C167^D167*(1-C167)^(B167-D167)</f>
        <v/>
      </c>
      <c r="G167">
        <f>G166+F167</f>
        <v/>
      </c>
    </row>
    <row r="168">
      <c r="A168" t="inlineStr">
        <is>
          <t>buy100_high_13</t>
        </is>
      </c>
      <c r="B168" t="n">
        <v>13</v>
      </c>
      <c r="C168" t="n">
        <v>0.64479564</v>
      </c>
      <c r="D168" t="n">
        <v>9</v>
      </c>
      <c r="E168">
        <f>"COMBIN("&amp;B168&amp;","&amp;D168&amp;")*"&amp;C168&amp;"^"&amp;D168&amp;"*(1-"&amp;C168&amp;")^("&amp;B168&amp;"-"&amp;D168&amp;")</f>
        <v/>
      </c>
      <c r="F168">
        <f>COMBIN(B168,D168)*C168^D168*(1-C168)^(B168-D168)</f>
        <v/>
      </c>
      <c r="G168">
        <f>G167+F168</f>
        <v/>
      </c>
    </row>
    <row r="169">
      <c r="A169" t="inlineStr">
        <is>
          <t>buy100_high_13</t>
        </is>
      </c>
      <c r="B169" t="n">
        <v>13</v>
      </c>
      <c r="C169" t="n">
        <v>0.64479564</v>
      </c>
      <c r="D169" t="n">
        <v>10</v>
      </c>
      <c r="E169">
        <f>"COMBIN("&amp;B169&amp;","&amp;D169&amp;")*"&amp;C169&amp;"^"&amp;D169&amp;"*(1-"&amp;C169&amp;")^("&amp;B169&amp;"-"&amp;D169&amp;")</f>
        <v/>
      </c>
      <c r="F169">
        <f>COMBIN(B169,D169)*C169^D169*(1-C169)^(B169-D169)</f>
        <v/>
      </c>
      <c r="G169">
        <f>G168+F169</f>
        <v/>
      </c>
    </row>
    <row r="170">
      <c r="A170" t="inlineStr">
        <is>
          <t>buy100_high_13</t>
        </is>
      </c>
      <c r="B170" t="n">
        <v>13</v>
      </c>
      <c r="C170" t="n">
        <v>0.64479564</v>
      </c>
      <c r="D170" t="n">
        <v>11</v>
      </c>
      <c r="E170">
        <f>"COMBIN("&amp;B170&amp;","&amp;D170&amp;")*"&amp;C170&amp;"^"&amp;D170&amp;"*(1-"&amp;C170&amp;")^("&amp;B170&amp;"-"&amp;D170&amp;")</f>
        <v/>
      </c>
      <c r="F170">
        <f>COMBIN(B170,D170)*C170^D170*(1-C170)^(B170-D170)</f>
        <v/>
      </c>
      <c r="G170">
        <f>G169+F170</f>
        <v/>
      </c>
    </row>
    <row r="171">
      <c r="A171" t="inlineStr">
        <is>
          <t>buy100_high_13</t>
        </is>
      </c>
      <c r="B171" t="n">
        <v>13</v>
      </c>
      <c r="C171" t="n">
        <v>0.64479564</v>
      </c>
      <c r="D171" t="n">
        <v>12</v>
      </c>
      <c r="E171">
        <f>"COMBIN("&amp;B171&amp;","&amp;D171&amp;")*"&amp;C171&amp;"^"&amp;D171&amp;"*(1-"&amp;C171&amp;")^("&amp;B171&amp;"-"&amp;D171&amp;")</f>
        <v/>
      </c>
      <c r="F171">
        <f>COMBIN(B171,D171)*C171^D171*(1-C171)^(B171-D171)</f>
        <v/>
      </c>
      <c r="G171">
        <f>G170+F171</f>
        <v/>
      </c>
    </row>
    <row r="172">
      <c r="A172" t="inlineStr">
        <is>
          <t>buy100_high_13</t>
        </is>
      </c>
      <c r="B172" t="n">
        <v>13</v>
      </c>
      <c r="C172" t="n">
        <v>0.64479564</v>
      </c>
      <c r="D172" t="n">
        <v>13</v>
      </c>
      <c r="E172">
        <f>"COMBIN("&amp;B172&amp;","&amp;D172&amp;")*"&amp;C172&amp;"^"&amp;D172&amp;"*(1-"&amp;C172&amp;")^("&amp;B172&amp;"-"&amp;D172&amp;")</f>
        <v/>
      </c>
      <c r="F172">
        <f>COMBIN(B172,D172)*C172^D172*(1-C172)^(B172-D172)</f>
        <v/>
      </c>
      <c r="G172">
        <f>G171+F172</f>
        <v/>
      </c>
    </row>
    <row r="173">
      <c r="A173" t="inlineStr">
        <is>
          <t>buy100_high_14</t>
        </is>
      </c>
      <c r="B173" t="n">
        <v>14</v>
      </c>
      <c r="C173" t="n">
        <v>0.64292</v>
      </c>
      <c r="D173" t="n">
        <v>0</v>
      </c>
      <c r="E173">
        <f>"COMBIN("&amp;B173&amp;","&amp;D173&amp;")*"&amp;C173&amp;"^"&amp;D173&amp;"*(1-"&amp;C173&amp;")^("&amp;B173&amp;"-"&amp;D173&amp;")</f>
        <v/>
      </c>
      <c r="F173">
        <f>COMBIN(B173,D173)*C173^D173*(1-C173)^(B173-D173)</f>
        <v/>
      </c>
      <c r="G173">
        <f>F173</f>
        <v/>
      </c>
      <c r="H173">
        <f>SUM(F173:F187)</f>
        <v/>
      </c>
    </row>
    <row r="174">
      <c r="A174" t="inlineStr">
        <is>
          <t>buy100_high_14</t>
        </is>
      </c>
      <c r="B174" t="n">
        <v>14</v>
      </c>
      <c r="C174" t="n">
        <v>0.64292</v>
      </c>
      <c r="D174" t="n">
        <v>1</v>
      </c>
      <c r="E174">
        <f>"COMBIN("&amp;B174&amp;","&amp;D174&amp;")*"&amp;C174&amp;"^"&amp;D174&amp;"*(1-"&amp;C174&amp;")^("&amp;B174&amp;"-"&amp;D174&amp;")</f>
        <v/>
      </c>
      <c r="F174">
        <f>COMBIN(B174,D174)*C174^D174*(1-C174)^(B174-D174)</f>
        <v/>
      </c>
      <c r="G174">
        <f>G173+F174</f>
        <v/>
      </c>
    </row>
    <row r="175">
      <c r="A175" t="inlineStr">
        <is>
          <t>buy100_high_14</t>
        </is>
      </c>
      <c r="B175" t="n">
        <v>14</v>
      </c>
      <c r="C175" t="n">
        <v>0.64292</v>
      </c>
      <c r="D175" t="n">
        <v>2</v>
      </c>
      <c r="E175">
        <f>"COMBIN("&amp;B175&amp;","&amp;D175&amp;")*"&amp;C175&amp;"^"&amp;D175&amp;"*(1-"&amp;C175&amp;")^("&amp;B175&amp;"-"&amp;D175&amp;")</f>
        <v/>
      </c>
      <c r="F175">
        <f>COMBIN(B175,D175)*C175^D175*(1-C175)^(B175-D175)</f>
        <v/>
      </c>
      <c r="G175">
        <f>G174+F175</f>
        <v/>
      </c>
    </row>
    <row r="176">
      <c r="A176" t="inlineStr">
        <is>
          <t>buy100_high_14</t>
        </is>
      </c>
      <c r="B176" t="n">
        <v>14</v>
      </c>
      <c r="C176" t="n">
        <v>0.64292</v>
      </c>
      <c r="D176" t="n">
        <v>3</v>
      </c>
      <c r="E176">
        <f>"COMBIN("&amp;B176&amp;","&amp;D176&amp;")*"&amp;C176&amp;"^"&amp;D176&amp;"*(1-"&amp;C176&amp;")^("&amp;B176&amp;"-"&amp;D176&amp;")</f>
        <v/>
      </c>
      <c r="F176">
        <f>COMBIN(B176,D176)*C176^D176*(1-C176)^(B176-D176)</f>
        <v/>
      </c>
      <c r="G176">
        <f>G175+F176</f>
        <v/>
      </c>
    </row>
    <row r="177">
      <c r="A177" t="inlineStr">
        <is>
          <t>buy100_high_14</t>
        </is>
      </c>
      <c r="B177" t="n">
        <v>14</v>
      </c>
      <c r="C177" t="n">
        <v>0.64292</v>
      </c>
      <c r="D177" t="n">
        <v>4</v>
      </c>
      <c r="E177">
        <f>"COMBIN("&amp;B177&amp;","&amp;D177&amp;")*"&amp;C177&amp;"^"&amp;D177&amp;"*(1-"&amp;C177&amp;")^("&amp;B177&amp;"-"&amp;D177&amp;")</f>
        <v/>
      </c>
      <c r="F177">
        <f>COMBIN(B177,D177)*C177^D177*(1-C177)^(B177-D177)</f>
        <v/>
      </c>
      <c r="G177">
        <f>G176+F177</f>
        <v/>
      </c>
    </row>
    <row r="178">
      <c r="A178" t="inlineStr">
        <is>
          <t>buy100_high_14</t>
        </is>
      </c>
      <c r="B178" t="n">
        <v>14</v>
      </c>
      <c r="C178" t="n">
        <v>0.64292</v>
      </c>
      <c r="D178" t="n">
        <v>5</v>
      </c>
      <c r="E178">
        <f>"COMBIN("&amp;B178&amp;","&amp;D178&amp;")*"&amp;C178&amp;"^"&amp;D178&amp;"*(1-"&amp;C178&amp;")^("&amp;B178&amp;"-"&amp;D178&amp;")</f>
        <v/>
      </c>
      <c r="F178">
        <f>COMBIN(B178,D178)*C178^D178*(1-C178)^(B178-D178)</f>
        <v/>
      </c>
      <c r="G178">
        <f>G177+F178</f>
        <v/>
      </c>
    </row>
    <row r="179">
      <c r="A179" t="inlineStr">
        <is>
          <t>buy100_high_14</t>
        </is>
      </c>
      <c r="B179" t="n">
        <v>14</v>
      </c>
      <c r="C179" t="n">
        <v>0.64292</v>
      </c>
      <c r="D179" t="n">
        <v>6</v>
      </c>
      <c r="E179">
        <f>"COMBIN("&amp;B179&amp;","&amp;D179&amp;")*"&amp;C179&amp;"^"&amp;D179&amp;"*(1-"&amp;C179&amp;")^("&amp;B179&amp;"-"&amp;D179&amp;")</f>
        <v/>
      </c>
      <c r="F179">
        <f>COMBIN(B179,D179)*C179^D179*(1-C179)^(B179-D179)</f>
        <v/>
      </c>
      <c r="G179">
        <f>G178+F179</f>
        <v/>
      </c>
    </row>
    <row r="180">
      <c r="A180" t="inlineStr">
        <is>
          <t>buy100_high_14</t>
        </is>
      </c>
      <c r="B180" t="n">
        <v>14</v>
      </c>
      <c r="C180" t="n">
        <v>0.64292</v>
      </c>
      <c r="D180" t="n">
        <v>7</v>
      </c>
      <c r="E180">
        <f>"COMBIN("&amp;B180&amp;","&amp;D180&amp;")*"&amp;C180&amp;"^"&amp;D180&amp;"*(1-"&amp;C180&amp;")^("&amp;B180&amp;"-"&amp;D180&amp;")</f>
        <v/>
      </c>
      <c r="F180">
        <f>COMBIN(B180,D180)*C180^D180*(1-C180)^(B180-D180)</f>
        <v/>
      </c>
      <c r="G180">
        <f>G179+F180</f>
        <v/>
      </c>
    </row>
    <row r="181">
      <c r="A181" t="inlineStr">
        <is>
          <t>buy100_high_14</t>
        </is>
      </c>
      <c r="B181" t="n">
        <v>14</v>
      </c>
      <c r="C181" t="n">
        <v>0.64292</v>
      </c>
      <c r="D181" t="n">
        <v>8</v>
      </c>
      <c r="E181">
        <f>"COMBIN("&amp;B181&amp;","&amp;D181&amp;")*"&amp;C181&amp;"^"&amp;D181&amp;"*(1-"&amp;C181&amp;")^("&amp;B181&amp;"-"&amp;D181&amp;")</f>
        <v/>
      </c>
      <c r="F181">
        <f>COMBIN(B181,D181)*C181^D181*(1-C181)^(B181-D181)</f>
        <v/>
      </c>
      <c r="G181">
        <f>G180+F181</f>
        <v/>
      </c>
    </row>
    <row r="182">
      <c r="A182" t="inlineStr">
        <is>
          <t>buy100_high_14</t>
        </is>
      </c>
      <c r="B182" t="n">
        <v>14</v>
      </c>
      <c r="C182" t="n">
        <v>0.64292</v>
      </c>
      <c r="D182" t="n">
        <v>9</v>
      </c>
      <c r="E182">
        <f>"COMBIN("&amp;B182&amp;","&amp;D182&amp;")*"&amp;C182&amp;"^"&amp;D182&amp;"*(1-"&amp;C182&amp;")^("&amp;B182&amp;"-"&amp;D182&amp;")</f>
        <v/>
      </c>
      <c r="F182">
        <f>COMBIN(B182,D182)*C182^D182*(1-C182)^(B182-D182)</f>
        <v/>
      </c>
      <c r="G182">
        <f>G181+F182</f>
        <v/>
      </c>
    </row>
    <row r="183">
      <c r="A183" t="inlineStr">
        <is>
          <t>buy100_high_14</t>
        </is>
      </c>
      <c r="B183" t="n">
        <v>14</v>
      </c>
      <c r="C183" t="n">
        <v>0.64292</v>
      </c>
      <c r="D183" t="n">
        <v>10</v>
      </c>
      <c r="E183">
        <f>"COMBIN("&amp;B183&amp;","&amp;D183&amp;")*"&amp;C183&amp;"^"&amp;D183&amp;"*(1-"&amp;C183&amp;")^("&amp;B183&amp;"-"&amp;D183&amp;")</f>
        <v/>
      </c>
      <c r="F183">
        <f>COMBIN(B183,D183)*C183^D183*(1-C183)^(B183-D183)</f>
        <v/>
      </c>
      <c r="G183">
        <f>G182+F183</f>
        <v/>
      </c>
    </row>
    <row r="184">
      <c r="A184" t="inlineStr">
        <is>
          <t>buy100_high_14</t>
        </is>
      </c>
      <c r="B184" t="n">
        <v>14</v>
      </c>
      <c r="C184" t="n">
        <v>0.64292</v>
      </c>
      <c r="D184" t="n">
        <v>11</v>
      </c>
      <c r="E184">
        <f>"COMBIN("&amp;B184&amp;","&amp;D184&amp;")*"&amp;C184&amp;"^"&amp;D184&amp;"*(1-"&amp;C184&amp;")^("&amp;B184&amp;"-"&amp;D184&amp;")</f>
        <v/>
      </c>
      <c r="F184">
        <f>COMBIN(B184,D184)*C184^D184*(1-C184)^(B184-D184)</f>
        <v/>
      </c>
      <c r="G184">
        <f>G183+F184</f>
        <v/>
      </c>
    </row>
    <row r="185">
      <c r="A185" t="inlineStr">
        <is>
          <t>buy100_high_14</t>
        </is>
      </c>
      <c r="B185" t="n">
        <v>14</v>
      </c>
      <c r="C185" t="n">
        <v>0.64292</v>
      </c>
      <c r="D185" t="n">
        <v>12</v>
      </c>
      <c r="E185">
        <f>"COMBIN("&amp;B185&amp;","&amp;D185&amp;")*"&amp;C185&amp;"^"&amp;D185&amp;"*(1-"&amp;C185&amp;")^("&amp;B185&amp;"-"&amp;D185&amp;")</f>
        <v/>
      </c>
      <c r="F185">
        <f>COMBIN(B185,D185)*C185^D185*(1-C185)^(B185-D185)</f>
        <v/>
      </c>
      <c r="G185">
        <f>G184+F185</f>
        <v/>
      </c>
    </row>
    <row r="186">
      <c r="A186" t="inlineStr">
        <is>
          <t>buy100_high_14</t>
        </is>
      </c>
      <c r="B186" t="n">
        <v>14</v>
      </c>
      <c r="C186" t="n">
        <v>0.64292</v>
      </c>
      <c r="D186" t="n">
        <v>13</v>
      </c>
      <c r="E186">
        <f>"COMBIN("&amp;B186&amp;","&amp;D186&amp;")*"&amp;C186&amp;"^"&amp;D186&amp;"*(1-"&amp;C186&amp;")^("&amp;B186&amp;"-"&amp;D186&amp;")</f>
        <v/>
      </c>
      <c r="F186">
        <f>COMBIN(B186,D186)*C186^D186*(1-C186)^(B186-D186)</f>
        <v/>
      </c>
      <c r="G186">
        <f>G185+F186</f>
        <v/>
      </c>
    </row>
    <row r="187">
      <c r="A187" t="inlineStr">
        <is>
          <t>buy100_high_14</t>
        </is>
      </c>
      <c r="B187" t="n">
        <v>14</v>
      </c>
      <c r="C187" t="n">
        <v>0.64292</v>
      </c>
      <c r="D187" t="n">
        <v>14</v>
      </c>
      <c r="E187">
        <f>"COMBIN("&amp;B187&amp;","&amp;D187&amp;")*"&amp;C187&amp;"^"&amp;D187&amp;"*(1-"&amp;C187&amp;")^("&amp;B187&amp;"-"&amp;D187&amp;")</f>
        <v/>
      </c>
      <c r="F187">
        <f>COMBIN(B187,D187)*C187^D187*(1-C187)^(B187-D187)</f>
        <v/>
      </c>
      <c r="G187">
        <f>G186+F187</f>
        <v/>
      </c>
    </row>
    <row r="188">
      <c r="A188" t="inlineStr">
        <is>
          <t>buy100_high_15</t>
        </is>
      </c>
      <c r="B188" t="n">
        <v>15</v>
      </c>
      <c r="C188" t="n">
        <v>0.63187238</v>
      </c>
      <c r="D188" t="n">
        <v>0</v>
      </c>
      <c r="E188">
        <f>"COMBIN("&amp;B188&amp;","&amp;D188&amp;")*"&amp;C188&amp;"^"&amp;D188&amp;"*(1-"&amp;C188&amp;")^("&amp;B188&amp;"-"&amp;D188&amp;")</f>
        <v/>
      </c>
      <c r="F188">
        <f>COMBIN(B188,D188)*C188^D188*(1-C188)^(B188-D188)</f>
        <v/>
      </c>
      <c r="G188">
        <f>F188</f>
        <v/>
      </c>
      <c r="H188">
        <f>SUM(F188:F203)</f>
        <v/>
      </c>
    </row>
    <row r="189">
      <c r="A189" t="inlineStr">
        <is>
          <t>buy100_high_15</t>
        </is>
      </c>
      <c r="B189" t="n">
        <v>15</v>
      </c>
      <c r="C189" t="n">
        <v>0.63187238</v>
      </c>
      <c r="D189" t="n">
        <v>1</v>
      </c>
      <c r="E189">
        <f>"COMBIN("&amp;B189&amp;","&amp;D189&amp;")*"&amp;C189&amp;"^"&amp;D189&amp;"*(1-"&amp;C189&amp;")^("&amp;B189&amp;"-"&amp;D189&amp;")</f>
        <v/>
      </c>
      <c r="F189">
        <f>COMBIN(B189,D189)*C189^D189*(1-C189)^(B189-D189)</f>
        <v/>
      </c>
      <c r="G189">
        <f>G188+F189</f>
        <v/>
      </c>
    </row>
    <row r="190">
      <c r="A190" t="inlineStr">
        <is>
          <t>buy100_high_15</t>
        </is>
      </c>
      <c r="B190" t="n">
        <v>15</v>
      </c>
      <c r="C190" t="n">
        <v>0.63187238</v>
      </c>
      <c r="D190" t="n">
        <v>2</v>
      </c>
      <c r="E190">
        <f>"COMBIN("&amp;B190&amp;","&amp;D190&amp;")*"&amp;C190&amp;"^"&amp;D190&amp;"*(1-"&amp;C190&amp;")^("&amp;B190&amp;"-"&amp;D190&amp;")</f>
        <v/>
      </c>
      <c r="F190">
        <f>COMBIN(B190,D190)*C190^D190*(1-C190)^(B190-D190)</f>
        <v/>
      </c>
      <c r="G190">
        <f>G189+F190</f>
        <v/>
      </c>
    </row>
    <row r="191">
      <c r="A191" t="inlineStr">
        <is>
          <t>buy100_high_15</t>
        </is>
      </c>
      <c r="B191" t="n">
        <v>15</v>
      </c>
      <c r="C191" t="n">
        <v>0.63187238</v>
      </c>
      <c r="D191" t="n">
        <v>3</v>
      </c>
      <c r="E191">
        <f>"COMBIN("&amp;B191&amp;","&amp;D191&amp;")*"&amp;C191&amp;"^"&amp;D191&amp;"*(1-"&amp;C191&amp;")^("&amp;B191&amp;"-"&amp;D191&amp;")</f>
        <v/>
      </c>
      <c r="F191">
        <f>COMBIN(B191,D191)*C191^D191*(1-C191)^(B191-D191)</f>
        <v/>
      </c>
      <c r="G191">
        <f>G190+F191</f>
        <v/>
      </c>
    </row>
    <row r="192">
      <c r="A192" t="inlineStr">
        <is>
          <t>buy100_high_15</t>
        </is>
      </c>
      <c r="B192" t="n">
        <v>15</v>
      </c>
      <c r="C192" t="n">
        <v>0.63187238</v>
      </c>
      <c r="D192" t="n">
        <v>4</v>
      </c>
      <c r="E192">
        <f>"COMBIN("&amp;B192&amp;","&amp;D192&amp;")*"&amp;C192&amp;"^"&amp;D192&amp;"*(1-"&amp;C192&amp;")^("&amp;B192&amp;"-"&amp;D192&amp;")</f>
        <v/>
      </c>
      <c r="F192">
        <f>COMBIN(B192,D192)*C192^D192*(1-C192)^(B192-D192)</f>
        <v/>
      </c>
      <c r="G192">
        <f>G191+F192</f>
        <v/>
      </c>
    </row>
    <row r="193">
      <c r="A193" t="inlineStr">
        <is>
          <t>buy100_high_15</t>
        </is>
      </c>
      <c r="B193" t="n">
        <v>15</v>
      </c>
      <c r="C193" t="n">
        <v>0.63187238</v>
      </c>
      <c r="D193" t="n">
        <v>5</v>
      </c>
      <c r="E193">
        <f>"COMBIN("&amp;B193&amp;","&amp;D193&amp;")*"&amp;C193&amp;"^"&amp;D193&amp;"*(1-"&amp;C193&amp;")^("&amp;B193&amp;"-"&amp;D193&amp;")</f>
        <v/>
      </c>
      <c r="F193">
        <f>COMBIN(B193,D193)*C193^D193*(1-C193)^(B193-D193)</f>
        <v/>
      </c>
      <c r="G193">
        <f>G192+F193</f>
        <v/>
      </c>
    </row>
    <row r="194">
      <c r="A194" t="inlineStr">
        <is>
          <t>buy100_high_15</t>
        </is>
      </c>
      <c r="B194" t="n">
        <v>15</v>
      </c>
      <c r="C194" t="n">
        <v>0.63187238</v>
      </c>
      <c r="D194" t="n">
        <v>6</v>
      </c>
      <c r="E194">
        <f>"COMBIN("&amp;B194&amp;","&amp;D194&amp;")*"&amp;C194&amp;"^"&amp;D194&amp;"*(1-"&amp;C194&amp;")^("&amp;B194&amp;"-"&amp;D194&amp;")</f>
        <v/>
      </c>
      <c r="F194">
        <f>COMBIN(B194,D194)*C194^D194*(1-C194)^(B194-D194)</f>
        <v/>
      </c>
      <c r="G194">
        <f>G193+F194</f>
        <v/>
      </c>
    </row>
    <row r="195">
      <c r="A195" t="inlineStr">
        <is>
          <t>buy100_high_15</t>
        </is>
      </c>
      <c r="B195" t="n">
        <v>15</v>
      </c>
      <c r="C195" t="n">
        <v>0.63187238</v>
      </c>
      <c r="D195" t="n">
        <v>7</v>
      </c>
      <c r="E195">
        <f>"COMBIN("&amp;B195&amp;","&amp;D195&amp;")*"&amp;C195&amp;"^"&amp;D195&amp;"*(1-"&amp;C195&amp;")^("&amp;B195&amp;"-"&amp;D195&amp;")</f>
        <v/>
      </c>
      <c r="F195">
        <f>COMBIN(B195,D195)*C195^D195*(1-C195)^(B195-D195)</f>
        <v/>
      </c>
      <c r="G195">
        <f>G194+F195</f>
        <v/>
      </c>
    </row>
    <row r="196">
      <c r="A196" t="inlineStr">
        <is>
          <t>buy100_high_15</t>
        </is>
      </c>
      <c r="B196" t="n">
        <v>15</v>
      </c>
      <c r="C196" t="n">
        <v>0.63187238</v>
      </c>
      <c r="D196" t="n">
        <v>8</v>
      </c>
      <c r="E196">
        <f>"COMBIN("&amp;B196&amp;","&amp;D196&amp;")*"&amp;C196&amp;"^"&amp;D196&amp;"*(1-"&amp;C196&amp;")^("&amp;B196&amp;"-"&amp;D196&amp;")</f>
        <v/>
      </c>
      <c r="F196">
        <f>COMBIN(B196,D196)*C196^D196*(1-C196)^(B196-D196)</f>
        <v/>
      </c>
      <c r="G196">
        <f>G195+F196</f>
        <v/>
      </c>
    </row>
    <row r="197">
      <c r="A197" t="inlineStr">
        <is>
          <t>buy100_high_15</t>
        </is>
      </c>
      <c r="B197" t="n">
        <v>15</v>
      </c>
      <c r="C197" t="n">
        <v>0.63187238</v>
      </c>
      <c r="D197" t="n">
        <v>9</v>
      </c>
      <c r="E197">
        <f>"COMBIN("&amp;B197&amp;","&amp;D197&amp;")*"&amp;C197&amp;"^"&amp;D197&amp;"*(1-"&amp;C197&amp;")^("&amp;B197&amp;"-"&amp;D197&amp;")</f>
        <v/>
      </c>
      <c r="F197">
        <f>COMBIN(B197,D197)*C197^D197*(1-C197)^(B197-D197)</f>
        <v/>
      </c>
      <c r="G197">
        <f>G196+F197</f>
        <v/>
      </c>
    </row>
    <row r="198">
      <c r="A198" t="inlineStr">
        <is>
          <t>buy100_high_15</t>
        </is>
      </c>
      <c r="B198" t="n">
        <v>15</v>
      </c>
      <c r="C198" t="n">
        <v>0.63187238</v>
      </c>
      <c r="D198" t="n">
        <v>10</v>
      </c>
      <c r="E198">
        <f>"COMBIN("&amp;B198&amp;","&amp;D198&amp;")*"&amp;C198&amp;"^"&amp;D198&amp;"*(1-"&amp;C198&amp;")^("&amp;B198&amp;"-"&amp;D198&amp;")</f>
        <v/>
      </c>
      <c r="F198">
        <f>COMBIN(B198,D198)*C198^D198*(1-C198)^(B198-D198)</f>
        <v/>
      </c>
      <c r="G198">
        <f>G197+F198</f>
        <v/>
      </c>
    </row>
    <row r="199">
      <c r="A199" t="inlineStr">
        <is>
          <t>buy100_high_15</t>
        </is>
      </c>
      <c r="B199" t="n">
        <v>15</v>
      </c>
      <c r="C199" t="n">
        <v>0.63187238</v>
      </c>
      <c r="D199" t="n">
        <v>11</v>
      </c>
      <c r="E199">
        <f>"COMBIN("&amp;B199&amp;","&amp;D199&amp;")*"&amp;C199&amp;"^"&amp;D199&amp;"*(1-"&amp;C199&amp;")^("&amp;B199&amp;"-"&amp;D199&amp;")</f>
        <v/>
      </c>
      <c r="F199">
        <f>COMBIN(B199,D199)*C199^D199*(1-C199)^(B199-D199)</f>
        <v/>
      </c>
      <c r="G199">
        <f>G198+F199</f>
        <v/>
      </c>
    </row>
    <row r="200">
      <c r="A200" t="inlineStr">
        <is>
          <t>buy100_high_15</t>
        </is>
      </c>
      <c r="B200" t="n">
        <v>15</v>
      </c>
      <c r="C200" t="n">
        <v>0.63187238</v>
      </c>
      <c r="D200" t="n">
        <v>12</v>
      </c>
      <c r="E200">
        <f>"COMBIN("&amp;B200&amp;","&amp;D200&amp;")*"&amp;C200&amp;"^"&amp;D200&amp;"*(1-"&amp;C200&amp;")^("&amp;B200&amp;"-"&amp;D200&amp;")</f>
        <v/>
      </c>
      <c r="F200">
        <f>COMBIN(B200,D200)*C200^D200*(1-C200)^(B200-D200)</f>
        <v/>
      </c>
      <c r="G200">
        <f>G199+F200</f>
        <v/>
      </c>
    </row>
    <row r="201">
      <c r="A201" t="inlineStr">
        <is>
          <t>buy100_high_15</t>
        </is>
      </c>
      <c r="B201" t="n">
        <v>15</v>
      </c>
      <c r="C201" t="n">
        <v>0.63187238</v>
      </c>
      <c r="D201" t="n">
        <v>13</v>
      </c>
      <c r="E201">
        <f>"COMBIN("&amp;B201&amp;","&amp;D201&amp;")*"&amp;C201&amp;"^"&amp;D201&amp;"*(1-"&amp;C201&amp;")^("&amp;B201&amp;"-"&amp;D201&amp;")</f>
        <v/>
      </c>
      <c r="F201">
        <f>COMBIN(B201,D201)*C201^D201*(1-C201)^(B201-D201)</f>
        <v/>
      </c>
      <c r="G201">
        <f>G200+F201</f>
        <v/>
      </c>
    </row>
    <row r="202">
      <c r="A202" t="inlineStr">
        <is>
          <t>buy100_high_15</t>
        </is>
      </c>
      <c r="B202" t="n">
        <v>15</v>
      </c>
      <c r="C202" t="n">
        <v>0.63187238</v>
      </c>
      <c r="D202" t="n">
        <v>14</v>
      </c>
      <c r="E202">
        <f>"COMBIN("&amp;B202&amp;","&amp;D202&amp;")*"&amp;C202&amp;"^"&amp;D202&amp;"*(1-"&amp;C202&amp;")^("&amp;B202&amp;"-"&amp;D202&amp;")</f>
        <v/>
      </c>
      <c r="F202">
        <f>COMBIN(B202,D202)*C202^D202*(1-C202)^(B202-D202)</f>
        <v/>
      </c>
      <c r="G202">
        <f>G201+F202</f>
        <v/>
      </c>
    </row>
    <row r="203">
      <c r="A203" t="inlineStr">
        <is>
          <t>buy100_high_15</t>
        </is>
      </c>
      <c r="B203" t="n">
        <v>15</v>
      </c>
      <c r="C203" t="n">
        <v>0.63187238</v>
      </c>
      <c r="D203" t="n">
        <v>15</v>
      </c>
      <c r="E203">
        <f>"COMBIN("&amp;B203&amp;","&amp;D203&amp;")*"&amp;C203&amp;"^"&amp;D203&amp;"*(1-"&amp;C203&amp;")^("&amp;B203&amp;"-"&amp;D203&amp;")</f>
        <v/>
      </c>
      <c r="F203">
        <f>COMBIN(B203,D203)*C203^D203*(1-C203)^(B203-D203)</f>
        <v/>
      </c>
      <c r="G203">
        <f>G202+F203</f>
        <v/>
      </c>
    </row>
    <row r="204">
      <c r="A204" t="inlineStr">
        <is>
          <t>buy100_high_16</t>
        </is>
      </c>
      <c r="B204" t="n">
        <v>16</v>
      </c>
      <c r="C204" t="n">
        <v>0.60959782</v>
      </c>
      <c r="D204" t="n">
        <v>0</v>
      </c>
      <c r="E204">
        <f>"COMBIN("&amp;B204&amp;","&amp;D204&amp;")*"&amp;C204&amp;"^"&amp;D204&amp;"*(1-"&amp;C204&amp;")^("&amp;B204&amp;"-"&amp;D204&amp;")</f>
        <v/>
      </c>
      <c r="F204">
        <f>COMBIN(B204,D204)*C204^D204*(1-C204)^(B204-D204)</f>
        <v/>
      </c>
      <c r="G204">
        <f>F204</f>
        <v/>
      </c>
      <c r="H204">
        <f>SUM(F204:F220)</f>
        <v/>
      </c>
    </row>
    <row r="205">
      <c r="A205" t="inlineStr">
        <is>
          <t>buy100_high_16</t>
        </is>
      </c>
      <c r="B205" t="n">
        <v>16</v>
      </c>
      <c r="C205" t="n">
        <v>0.60959782</v>
      </c>
      <c r="D205" t="n">
        <v>1</v>
      </c>
      <c r="E205">
        <f>"COMBIN("&amp;B205&amp;","&amp;D205&amp;")*"&amp;C205&amp;"^"&amp;D205&amp;"*(1-"&amp;C205&amp;")^("&amp;B205&amp;"-"&amp;D205&amp;")</f>
        <v/>
      </c>
      <c r="F205">
        <f>COMBIN(B205,D205)*C205^D205*(1-C205)^(B205-D205)</f>
        <v/>
      </c>
      <c r="G205">
        <f>G204+F205</f>
        <v/>
      </c>
    </row>
    <row r="206">
      <c r="A206" t="inlineStr">
        <is>
          <t>buy100_high_16</t>
        </is>
      </c>
      <c r="B206" t="n">
        <v>16</v>
      </c>
      <c r="C206" t="n">
        <v>0.60959782</v>
      </c>
      <c r="D206" t="n">
        <v>2</v>
      </c>
      <c r="E206">
        <f>"COMBIN("&amp;B206&amp;","&amp;D206&amp;")*"&amp;C206&amp;"^"&amp;D206&amp;"*(1-"&amp;C206&amp;")^("&amp;B206&amp;"-"&amp;D206&amp;")</f>
        <v/>
      </c>
      <c r="F206">
        <f>COMBIN(B206,D206)*C206^D206*(1-C206)^(B206-D206)</f>
        <v/>
      </c>
      <c r="G206">
        <f>G205+F206</f>
        <v/>
      </c>
    </row>
    <row r="207">
      <c r="A207" t="inlineStr">
        <is>
          <t>buy100_high_16</t>
        </is>
      </c>
      <c r="B207" t="n">
        <v>16</v>
      </c>
      <c r="C207" t="n">
        <v>0.60959782</v>
      </c>
      <c r="D207" t="n">
        <v>3</v>
      </c>
      <c r="E207">
        <f>"COMBIN("&amp;B207&amp;","&amp;D207&amp;")*"&amp;C207&amp;"^"&amp;D207&amp;"*(1-"&amp;C207&amp;")^("&amp;B207&amp;"-"&amp;D207&amp;")</f>
        <v/>
      </c>
      <c r="F207">
        <f>COMBIN(B207,D207)*C207^D207*(1-C207)^(B207-D207)</f>
        <v/>
      </c>
      <c r="G207">
        <f>G206+F207</f>
        <v/>
      </c>
    </row>
    <row r="208">
      <c r="A208" t="inlineStr">
        <is>
          <t>buy100_high_16</t>
        </is>
      </c>
      <c r="B208" t="n">
        <v>16</v>
      </c>
      <c r="C208" t="n">
        <v>0.60959782</v>
      </c>
      <c r="D208" t="n">
        <v>4</v>
      </c>
      <c r="E208">
        <f>"COMBIN("&amp;B208&amp;","&amp;D208&amp;")*"&amp;C208&amp;"^"&amp;D208&amp;"*(1-"&amp;C208&amp;")^("&amp;B208&amp;"-"&amp;D208&amp;")</f>
        <v/>
      </c>
      <c r="F208">
        <f>COMBIN(B208,D208)*C208^D208*(1-C208)^(B208-D208)</f>
        <v/>
      </c>
      <c r="G208">
        <f>G207+F208</f>
        <v/>
      </c>
    </row>
    <row r="209">
      <c r="A209" t="inlineStr">
        <is>
          <t>buy100_high_16</t>
        </is>
      </c>
      <c r="B209" t="n">
        <v>16</v>
      </c>
      <c r="C209" t="n">
        <v>0.60959782</v>
      </c>
      <c r="D209" t="n">
        <v>5</v>
      </c>
      <c r="E209">
        <f>"COMBIN("&amp;B209&amp;","&amp;D209&amp;")*"&amp;C209&amp;"^"&amp;D209&amp;"*(1-"&amp;C209&amp;")^("&amp;B209&amp;"-"&amp;D209&amp;")</f>
        <v/>
      </c>
      <c r="F209">
        <f>COMBIN(B209,D209)*C209^D209*(1-C209)^(B209-D209)</f>
        <v/>
      </c>
      <c r="G209">
        <f>G208+F209</f>
        <v/>
      </c>
    </row>
    <row r="210">
      <c r="A210" t="inlineStr">
        <is>
          <t>buy100_high_16</t>
        </is>
      </c>
      <c r="B210" t="n">
        <v>16</v>
      </c>
      <c r="C210" t="n">
        <v>0.60959782</v>
      </c>
      <c r="D210" t="n">
        <v>6</v>
      </c>
      <c r="E210">
        <f>"COMBIN("&amp;B210&amp;","&amp;D210&amp;")*"&amp;C210&amp;"^"&amp;D210&amp;"*(1-"&amp;C210&amp;")^("&amp;B210&amp;"-"&amp;D210&amp;")</f>
        <v/>
      </c>
      <c r="F210">
        <f>COMBIN(B210,D210)*C210^D210*(1-C210)^(B210-D210)</f>
        <v/>
      </c>
      <c r="G210">
        <f>G209+F210</f>
        <v/>
      </c>
    </row>
    <row r="211">
      <c r="A211" t="inlineStr">
        <is>
          <t>buy100_high_16</t>
        </is>
      </c>
      <c r="B211" t="n">
        <v>16</v>
      </c>
      <c r="C211" t="n">
        <v>0.60959782</v>
      </c>
      <c r="D211" t="n">
        <v>7</v>
      </c>
      <c r="E211">
        <f>"COMBIN("&amp;B211&amp;","&amp;D211&amp;")*"&amp;C211&amp;"^"&amp;D211&amp;"*(1-"&amp;C211&amp;")^("&amp;B211&amp;"-"&amp;D211&amp;")</f>
        <v/>
      </c>
      <c r="F211">
        <f>COMBIN(B211,D211)*C211^D211*(1-C211)^(B211-D211)</f>
        <v/>
      </c>
      <c r="G211">
        <f>G210+F211</f>
        <v/>
      </c>
    </row>
    <row r="212">
      <c r="A212" t="inlineStr">
        <is>
          <t>buy100_high_16</t>
        </is>
      </c>
      <c r="B212" t="n">
        <v>16</v>
      </c>
      <c r="C212" t="n">
        <v>0.60959782</v>
      </c>
      <c r="D212" t="n">
        <v>8</v>
      </c>
      <c r="E212">
        <f>"COMBIN("&amp;B212&amp;","&amp;D212&amp;")*"&amp;C212&amp;"^"&amp;D212&amp;"*(1-"&amp;C212&amp;")^("&amp;B212&amp;"-"&amp;D212&amp;")</f>
        <v/>
      </c>
      <c r="F212">
        <f>COMBIN(B212,D212)*C212^D212*(1-C212)^(B212-D212)</f>
        <v/>
      </c>
      <c r="G212">
        <f>G211+F212</f>
        <v/>
      </c>
    </row>
    <row r="213">
      <c r="A213" t="inlineStr">
        <is>
          <t>buy100_high_16</t>
        </is>
      </c>
      <c r="B213" t="n">
        <v>16</v>
      </c>
      <c r="C213" t="n">
        <v>0.60959782</v>
      </c>
      <c r="D213" t="n">
        <v>9</v>
      </c>
      <c r="E213">
        <f>"COMBIN("&amp;B213&amp;","&amp;D213&amp;")*"&amp;C213&amp;"^"&amp;D213&amp;"*(1-"&amp;C213&amp;")^("&amp;B213&amp;"-"&amp;D213&amp;")</f>
        <v/>
      </c>
      <c r="F213">
        <f>COMBIN(B213,D213)*C213^D213*(1-C213)^(B213-D213)</f>
        <v/>
      </c>
      <c r="G213">
        <f>G212+F213</f>
        <v/>
      </c>
    </row>
    <row r="214">
      <c r="A214" t="inlineStr">
        <is>
          <t>buy100_high_16</t>
        </is>
      </c>
      <c r="B214" t="n">
        <v>16</v>
      </c>
      <c r="C214" t="n">
        <v>0.60959782</v>
      </c>
      <c r="D214" t="n">
        <v>10</v>
      </c>
      <c r="E214">
        <f>"COMBIN("&amp;B214&amp;","&amp;D214&amp;")*"&amp;C214&amp;"^"&amp;D214&amp;"*(1-"&amp;C214&amp;")^("&amp;B214&amp;"-"&amp;D214&amp;")</f>
        <v/>
      </c>
      <c r="F214">
        <f>COMBIN(B214,D214)*C214^D214*(1-C214)^(B214-D214)</f>
        <v/>
      </c>
      <c r="G214">
        <f>G213+F214</f>
        <v/>
      </c>
    </row>
    <row r="215">
      <c r="A215" t="inlineStr">
        <is>
          <t>buy100_high_16</t>
        </is>
      </c>
      <c r="B215" t="n">
        <v>16</v>
      </c>
      <c r="C215" t="n">
        <v>0.60959782</v>
      </c>
      <c r="D215" t="n">
        <v>11</v>
      </c>
      <c r="E215">
        <f>"COMBIN("&amp;B215&amp;","&amp;D215&amp;")*"&amp;C215&amp;"^"&amp;D215&amp;"*(1-"&amp;C215&amp;")^("&amp;B215&amp;"-"&amp;D215&amp;")</f>
        <v/>
      </c>
      <c r="F215">
        <f>COMBIN(B215,D215)*C215^D215*(1-C215)^(B215-D215)</f>
        <v/>
      </c>
      <c r="G215">
        <f>G214+F215</f>
        <v/>
      </c>
    </row>
    <row r="216">
      <c r="A216" t="inlineStr">
        <is>
          <t>buy100_high_16</t>
        </is>
      </c>
      <c r="B216" t="n">
        <v>16</v>
      </c>
      <c r="C216" t="n">
        <v>0.60959782</v>
      </c>
      <c r="D216" t="n">
        <v>12</v>
      </c>
      <c r="E216">
        <f>"COMBIN("&amp;B216&amp;","&amp;D216&amp;")*"&amp;C216&amp;"^"&amp;D216&amp;"*(1-"&amp;C216&amp;")^("&amp;B216&amp;"-"&amp;D216&amp;")</f>
        <v/>
      </c>
      <c r="F216">
        <f>COMBIN(B216,D216)*C216^D216*(1-C216)^(B216-D216)</f>
        <v/>
      </c>
      <c r="G216">
        <f>G215+F216</f>
        <v/>
      </c>
    </row>
    <row r="217">
      <c r="A217" t="inlineStr">
        <is>
          <t>buy100_high_16</t>
        </is>
      </c>
      <c r="B217" t="n">
        <v>16</v>
      </c>
      <c r="C217" t="n">
        <v>0.60959782</v>
      </c>
      <c r="D217" t="n">
        <v>13</v>
      </c>
      <c r="E217">
        <f>"COMBIN("&amp;B217&amp;","&amp;D217&amp;")*"&amp;C217&amp;"^"&amp;D217&amp;"*(1-"&amp;C217&amp;")^("&amp;B217&amp;"-"&amp;D217&amp;")</f>
        <v/>
      </c>
      <c r="F217">
        <f>COMBIN(B217,D217)*C217^D217*(1-C217)^(B217-D217)</f>
        <v/>
      </c>
      <c r="G217">
        <f>G216+F217</f>
        <v/>
      </c>
    </row>
    <row r="218">
      <c r="A218" t="inlineStr">
        <is>
          <t>buy100_high_16</t>
        </is>
      </c>
      <c r="B218" t="n">
        <v>16</v>
      </c>
      <c r="C218" t="n">
        <v>0.60959782</v>
      </c>
      <c r="D218" t="n">
        <v>14</v>
      </c>
      <c r="E218">
        <f>"COMBIN("&amp;B218&amp;","&amp;D218&amp;")*"&amp;C218&amp;"^"&amp;D218&amp;"*(1-"&amp;C218&amp;")^("&amp;B218&amp;"-"&amp;D218&amp;")</f>
        <v/>
      </c>
      <c r="F218">
        <f>COMBIN(B218,D218)*C218^D218*(1-C218)^(B218-D218)</f>
        <v/>
      </c>
      <c r="G218">
        <f>G217+F218</f>
        <v/>
      </c>
    </row>
    <row r="219">
      <c r="A219" t="inlineStr">
        <is>
          <t>buy100_high_16</t>
        </is>
      </c>
      <c r="B219" t="n">
        <v>16</v>
      </c>
      <c r="C219" t="n">
        <v>0.60959782</v>
      </c>
      <c r="D219" t="n">
        <v>15</v>
      </c>
      <c r="E219">
        <f>"COMBIN("&amp;B219&amp;","&amp;D219&amp;")*"&amp;C219&amp;"^"&amp;D219&amp;"*(1-"&amp;C219&amp;")^("&amp;B219&amp;"-"&amp;D219&amp;")</f>
        <v/>
      </c>
      <c r="F219">
        <f>COMBIN(B219,D219)*C219^D219*(1-C219)^(B219-D219)</f>
        <v/>
      </c>
      <c r="G219">
        <f>G218+F219</f>
        <v/>
      </c>
    </row>
    <row r="220">
      <c r="A220" t="inlineStr">
        <is>
          <t>buy100_high_16</t>
        </is>
      </c>
      <c r="B220" t="n">
        <v>16</v>
      </c>
      <c r="C220" t="n">
        <v>0.60959782</v>
      </c>
      <c r="D220" t="n">
        <v>16</v>
      </c>
      <c r="E220">
        <f>"COMBIN("&amp;B220&amp;","&amp;D220&amp;")*"&amp;C220&amp;"^"&amp;D220&amp;"*(1-"&amp;C220&amp;")^("&amp;B220&amp;"-"&amp;D220&amp;")</f>
        <v/>
      </c>
      <c r="F220">
        <f>COMBIN(B220,D220)*C220^D220*(1-C220)^(B220-D220)</f>
        <v/>
      </c>
      <c r="G220">
        <f>G219+F220</f>
        <v/>
      </c>
    </row>
    <row r="221">
      <c r="A221" t="inlineStr">
        <is>
          <t>buy100_high_8</t>
        </is>
      </c>
      <c r="B221" t="n">
        <v>8</v>
      </c>
      <c r="C221" t="n">
        <v>0.64492461</v>
      </c>
      <c r="D221" t="n">
        <v>0</v>
      </c>
      <c r="E221">
        <f>"COMBIN("&amp;B221&amp;","&amp;D221&amp;")*"&amp;C221&amp;"^"&amp;D221&amp;"*(1-"&amp;C221&amp;")^("&amp;B221&amp;"-"&amp;D221&amp;")</f>
        <v/>
      </c>
      <c r="F221">
        <f>COMBIN(B221,D221)*C221^D221*(1-C221)^(B221-D221)</f>
        <v/>
      </c>
      <c r="G221">
        <f>F221</f>
        <v/>
      </c>
      <c r="H221">
        <f>SUM(F221:F229)</f>
        <v/>
      </c>
    </row>
    <row r="222">
      <c r="A222" t="inlineStr">
        <is>
          <t>buy100_high_8</t>
        </is>
      </c>
      <c r="B222" t="n">
        <v>8</v>
      </c>
      <c r="C222" t="n">
        <v>0.64492461</v>
      </c>
      <c r="D222" t="n">
        <v>1</v>
      </c>
      <c r="E222">
        <f>"COMBIN("&amp;B222&amp;","&amp;D222&amp;")*"&amp;C222&amp;"^"&amp;D222&amp;"*(1-"&amp;C222&amp;")^("&amp;B222&amp;"-"&amp;D222&amp;")</f>
        <v/>
      </c>
      <c r="F222">
        <f>COMBIN(B222,D222)*C222^D222*(1-C222)^(B222-D222)</f>
        <v/>
      </c>
      <c r="G222">
        <f>G221+F222</f>
        <v/>
      </c>
    </row>
    <row r="223">
      <c r="A223" t="inlineStr">
        <is>
          <t>buy100_high_8</t>
        </is>
      </c>
      <c r="B223" t="n">
        <v>8</v>
      </c>
      <c r="C223" t="n">
        <v>0.64492461</v>
      </c>
      <c r="D223" t="n">
        <v>2</v>
      </c>
      <c r="E223">
        <f>"COMBIN("&amp;B223&amp;","&amp;D223&amp;")*"&amp;C223&amp;"^"&amp;D223&amp;"*(1-"&amp;C223&amp;")^("&amp;B223&amp;"-"&amp;D223&amp;")</f>
        <v/>
      </c>
      <c r="F223">
        <f>COMBIN(B223,D223)*C223^D223*(1-C223)^(B223-D223)</f>
        <v/>
      </c>
      <c r="G223">
        <f>G222+F223</f>
        <v/>
      </c>
    </row>
    <row r="224">
      <c r="A224" t="inlineStr">
        <is>
          <t>buy100_high_8</t>
        </is>
      </c>
      <c r="B224" t="n">
        <v>8</v>
      </c>
      <c r="C224" t="n">
        <v>0.64492461</v>
      </c>
      <c r="D224" t="n">
        <v>3</v>
      </c>
      <c r="E224">
        <f>"COMBIN("&amp;B224&amp;","&amp;D224&amp;")*"&amp;C224&amp;"^"&amp;D224&amp;"*(1-"&amp;C224&amp;")^("&amp;B224&amp;"-"&amp;D224&amp;")</f>
        <v/>
      </c>
      <c r="F224">
        <f>COMBIN(B224,D224)*C224^D224*(1-C224)^(B224-D224)</f>
        <v/>
      </c>
      <c r="G224">
        <f>G223+F224</f>
        <v/>
      </c>
    </row>
    <row r="225">
      <c r="A225" t="inlineStr">
        <is>
          <t>buy100_high_8</t>
        </is>
      </c>
      <c r="B225" t="n">
        <v>8</v>
      </c>
      <c r="C225" t="n">
        <v>0.64492461</v>
      </c>
      <c r="D225" t="n">
        <v>4</v>
      </c>
      <c r="E225">
        <f>"COMBIN("&amp;B225&amp;","&amp;D225&amp;")*"&amp;C225&amp;"^"&amp;D225&amp;"*(1-"&amp;C225&amp;")^("&amp;B225&amp;"-"&amp;D225&amp;")</f>
        <v/>
      </c>
      <c r="F225">
        <f>COMBIN(B225,D225)*C225^D225*(1-C225)^(B225-D225)</f>
        <v/>
      </c>
      <c r="G225">
        <f>G224+F225</f>
        <v/>
      </c>
    </row>
    <row r="226">
      <c r="A226" t="inlineStr">
        <is>
          <t>buy100_high_8</t>
        </is>
      </c>
      <c r="B226" t="n">
        <v>8</v>
      </c>
      <c r="C226" t="n">
        <v>0.64492461</v>
      </c>
      <c r="D226" t="n">
        <v>5</v>
      </c>
      <c r="E226">
        <f>"COMBIN("&amp;B226&amp;","&amp;D226&amp;")*"&amp;C226&amp;"^"&amp;D226&amp;"*(1-"&amp;C226&amp;")^("&amp;B226&amp;"-"&amp;D226&amp;")</f>
        <v/>
      </c>
      <c r="F226">
        <f>COMBIN(B226,D226)*C226^D226*(1-C226)^(B226-D226)</f>
        <v/>
      </c>
      <c r="G226">
        <f>G225+F226</f>
        <v/>
      </c>
    </row>
    <row r="227">
      <c r="A227" t="inlineStr">
        <is>
          <t>buy100_high_8</t>
        </is>
      </c>
      <c r="B227" t="n">
        <v>8</v>
      </c>
      <c r="C227" t="n">
        <v>0.64492461</v>
      </c>
      <c r="D227" t="n">
        <v>6</v>
      </c>
      <c r="E227">
        <f>"COMBIN("&amp;B227&amp;","&amp;D227&amp;")*"&amp;C227&amp;"^"&amp;D227&amp;"*(1-"&amp;C227&amp;")^("&amp;B227&amp;"-"&amp;D227&amp;")</f>
        <v/>
      </c>
      <c r="F227">
        <f>COMBIN(B227,D227)*C227^D227*(1-C227)^(B227-D227)</f>
        <v/>
      </c>
      <c r="G227">
        <f>G226+F227</f>
        <v/>
      </c>
    </row>
    <row r="228">
      <c r="A228" t="inlineStr">
        <is>
          <t>buy100_high_8</t>
        </is>
      </c>
      <c r="B228" t="n">
        <v>8</v>
      </c>
      <c r="C228" t="n">
        <v>0.64492461</v>
      </c>
      <c r="D228" t="n">
        <v>7</v>
      </c>
      <c r="E228">
        <f>"COMBIN("&amp;B228&amp;","&amp;D228&amp;")*"&amp;C228&amp;"^"&amp;D228&amp;"*(1-"&amp;C228&amp;")^("&amp;B228&amp;"-"&amp;D228&amp;")</f>
        <v/>
      </c>
      <c r="F228">
        <f>COMBIN(B228,D228)*C228^D228*(1-C228)^(B228-D228)</f>
        <v/>
      </c>
      <c r="G228">
        <f>G227+F228</f>
        <v/>
      </c>
    </row>
    <row r="229">
      <c r="A229" t="inlineStr">
        <is>
          <t>buy100_high_8</t>
        </is>
      </c>
      <c r="B229" t="n">
        <v>8</v>
      </c>
      <c r="C229" t="n">
        <v>0.64492461</v>
      </c>
      <c r="D229" t="n">
        <v>8</v>
      </c>
      <c r="E229">
        <f>"COMBIN("&amp;B229&amp;","&amp;D229&amp;")*"&amp;C229&amp;"^"&amp;D229&amp;"*(1-"&amp;C229&amp;")^("&amp;B229&amp;"-"&amp;D229&amp;")</f>
        <v/>
      </c>
      <c r="F229">
        <f>COMBIN(B229,D229)*C229^D229*(1-C229)^(B229-D229)</f>
        <v/>
      </c>
      <c r="G229">
        <f>G228+F229</f>
        <v/>
      </c>
    </row>
    <row r="230">
      <c r="A230" t="inlineStr">
        <is>
          <t>buy100_high_9</t>
        </is>
      </c>
      <c r="B230" t="n">
        <v>9</v>
      </c>
      <c r="C230" t="n">
        <v>0.64806741</v>
      </c>
      <c r="D230" t="n">
        <v>0</v>
      </c>
      <c r="E230">
        <f>"COMBIN("&amp;B230&amp;","&amp;D230&amp;")*"&amp;C230&amp;"^"&amp;D230&amp;"*(1-"&amp;C230&amp;")^("&amp;B230&amp;"-"&amp;D230&amp;")</f>
        <v/>
      </c>
      <c r="F230">
        <f>COMBIN(B230,D230)*C230^D230*(1-C230)^(B230-D230)</f>
        <v/>
      </c>
      <c r="G230">
        <f>F230</f>
        <v/>
      </c>
      <c r="H230">
        <f>SUM(F230:F239)</f>
        <v/>
      </c>
    </row>
    <row r="231">
      <c r="A231" t="inlineStr">
        <is>
          <t>buy100_high_9</t>
        </is>
      </c>
      <c r="B231" t="n">
        <v>9</v>
      </c>
      <c r="C231" t="n">
        <v>0.64806741</v>
      </c>
      <c r="D231" t="n">
        <v>1</v>
      </c>
      <c r="E231">
        <f>"COMBIN("&amp;B231&amp;","&amp;D231&amp;")*"&amp;C231&amp;"^"&amp;D231&amp;"*(1-"&amp;C231&amp;")^("&amp;B231&amp;"-"&amp;D231&amp;")</f>
        <v/>
      </c>
      <c r="F231">
        <f>COMBIN(B231,D231)*C231^D231*(1-C231)^(B231-D231)</f>
        <v/>
      </c>
      <c r="G231">
        <f>G230+F231</f>
        <v/>
      </c>
    </row>
    <row r="232">
      <c r="A232" t="inlineStr">
        <is>
          <t>buy100_high_9</t>
        </is>
      </c>
      <c r="B232" t="n">
        <v>9</v>
      </c>
      <c r="C232" t="n">
        <v>0.64806741</v>
      </c>
      <c r="D232" t="n">
        <v>2</v>
      </c>
      <c r="E232">
        <f>"COMBIN("&amp;B232&amp;","&amp;D232&amp;")*"&amp;C232&amp;"^"&amp;D232&amp;"*(1-"&amp;C232&amp;")^("&amp;B232&amp;"-"&amp;D232&amp;")</f>
        <v/>
      </c>
      <c r="F232">
        <f>COMBIN(B232,D232)*C232^D232*(1-C232)^(B232-D232)</f>
        <v/>
      </c>
      <c r="G232">
        <f>G231+F232</f>
        <v/>
      </c>
    </row>
    <row r="233">
      <c r="A233" t="inlineStr">
        <is>
          <t>buy100_high_9</t>
        </is>
      </c>
      <c r="B233" t="n">
        <v>9</v>
      </c>
      <c r="C233" t="n">
        <v>0.64806741</v>
      </c>
      <c r="D233" t="n">
        <v>3</v>
      </c>
      <c r="E233">
        <f>"COMBIN("&amp;B233&amp;","&amp;D233&amp;")*"&amp;C233&amp;"^"&amp;D233&amp;"*(1-"&amp;C233&amp;")^("&amp;B233&amp;"-"&amp;D233&amp;")</f>
        <v/>
      </c>
      <c r="F233">
        <f>COMBIN(B233,D233)*C233^D233*(1-C233)^(B233-D233)</f>
        <v/>
      </c>
      <c r="G233">
        <f>G232+F233</f>
        <v/>
      </c>
    </row>
    <row r="234">
      <c r="A234" t="inlineStr">
        <is>
          <t>buy100_high_9</t>
        </is>
      </c>
      <c r="B234" t="n">
        <v>9</v>
      </c>
      <c r="C234" t="n">
        <v>0.64806741</v>
      </c>
      <c r="D234" t="n">
        <v>4</v>
      </c>
      <c r="E234">
        <f>"COMBIN("&amp;B234&amp;","&amp;D234&amp;")*"&amp;C234&amp;"^"&amp;D234&amp;"*(1-"&amp;C234&amp;")^("&amp;B234&amp;"-"&amp;D234&amp;")</f>
        <v/>
      </c>
      <c r="F234">
        <f>COMBIN(B234,D234)*C234^D234*(1-C234)^(B234-D234)</f>
        <v/>
      </c>
      <c r="G234">
        <f>G233+F234</f>
        <v/>
      </c>
    </row>
    <row r="235">
      <c r="A235" t="inlineStr">
        <is>
          <t>buy100_high_9</t>
        </is>
      </c>
      <c r="B235" t="n">
        <v>9</v>
      </c>
      <c r="C235" t="n">
        <v>0.64806741</v>
      </c>
      <c r="D235" t="n">
        <v>5</v>
      </c>
      <c r="E235">
        <f>"COMBIN("&amp;B235&amp;","&amp;D235&amp;")*"&amp;C235&amp;"^"&amp;D235&amp;"*(1-"&amp;C235&amp;")^("&amp;B235&amp;"-"&amp;D235&amp;")</f>
        <v/>
      </c>
      <c r="F235">
        <f>COMBIN(B235,D235)*C235^D235*(1-C235)^(B235-D235)</f>
        <v/>
      </c>
      <c r="G235">
        <f>G234+F235</f>
        <v/>
      </c>
    </row>
    <row r="236">
      <c r="A236" t="inlineStr">
        <is>
          <t>buy100_high_9</t>
        </is>
      </c>
      <c r="B236" t="n">
        <v>9</v>
      </c>
      <c r="C236" t="n">
        <v>0.64806741</v>
      </c>
      <c r="D236" t="n">
        <v>6</v>
      </c>
      <c r="E236">
        <f>"COMBIN("&amp;B236&amp;","&amp;D236&amp;")*"&amp;C236&amp;"^"&amp;D236&amp;"*(1-"&amp;C236&amp;")^("&amp;B236&amp;"-"&amp;D236&amp;")</f>
        <v/>
      </c>
      <c r="F236">
        <f>COMBIN(B236,D236)*C236^D236*(1-C236)^(B236-D236)</f>
        <v/>
      </c>
      <c r="G236">
        <f>G235+F236</f>
        <v/>
      </c>
    </row>
    <row r="237">
      <c r="A237" t="inlineStr">
        <is>
          <t>buy100_high_9</t>
        </is>
      </c>
      <c r="B237" t="n">
        <v>9</v>
      </c>
      <c r="C237" t="n">
        <v>0.64806741</v>
      </c>
      <c r="D237" t="n">
        <v>7</v>
      </c>
      <c r="E237">
        <f>"COMBIN("&amp;B237&amp;","&amp;D237&amp;")*"&amp;C237&amp;"^"&amp;D237&amp;"*(1-"&amp;C237&amp;")^("&amp;B237&amp;"-"&amp;D237&amp;")</f>
        <v/>
      </c>
      <c r="F237">
        <f>COMBIN(B237,D237)*C237^D237*(1-C237)^(B237-D237)</f>
        <v/>
      </c>
      <c r="G237">
        <f>G236+F237</f>
        <v/>
      </c>
    </row>
    <row r="238">
      <c r="A238" t="inlineStr">
        <is>
          <t>buy100_high_9</t>
        </is>
      </c>
      <c r="B238" t="n">
        <v>9</v>
      </c>
      <c r="C238" t="n">
        <v>0.64806741</v>
      </c>
      <c r="D238" t="n">
        <v>8</v>
      </c>
      <c r="E238">
        <f>"COMBIN("&amp;B238&amp;","&amp;D238&amp;")*"&amp;C238&amp;"^"&amp;D238&amp;"*(1-"&amp;C238&amp;")^("&amp;B238&amp;"-"&amp;D238&amp;")</f>
        <v/>
      </c>
      <c r="F238">
        <f>COMBIN(B238,D238)*C238^D238*(1-C238)^(B238-D238)</f>
        <v/>
      </c>
      <c r="G238">
        <f>G237+F238</f>
        <v/>
      </c>
    </row>
    <row r="239">
      <c r="A239" t="inlineStr">
        <is>
          <t>buy100_high_9</t>
        </is>
      </c>
      <c r="B239" t="n">
        <v>9</v>
      </c>
      <c r="C239" t="n">
        <v>0.64806741</v>
      </c>
      <c r="D239" t="n">
        <v>9</v>
      </c>
      <c r="E239">
        <f>"COMBIN("&amp;B239&amp;","&amp;D239&amp;")*"&amp;C239&amp;"^"&amp;D239&amp;"*(1-"&amp;C239&amp;")^("&amp;B239&amp;"-"&amp;D239&amp;")</f>
        <v/>
      </c>
      <c r="F239">
        <f>COMBIN(B239,D239)*C239^D239*(1-C239)^(B239-D239)</f>
        <v/>
      </c>
      <c r="G239">
        <f>G238+F239</f>
        <v/>
      </c>
    </row>
    <row r="240">
      <c r="A240" t="inlineStr">
        <is>
          <t>buy100_low_10</t>
        </is>
      </c>
      <c r="B240" t="n">
        <v>10</v>
      </c>
      <c r="C240" t="n">
        <v>0.6788888199999999</v>
      </c>
      <c r="D240" t="n">
        <v>0</v>
      </c>
      <c r="E240">
        <f>"COMBIN("&amp;B240&amp;","&amp;D240&amp;")*"&amp;C240&amp;"^"&amp;D240&amp;"*(1-"&amp;C240&amp;")^("&amp;B240&amp;"-"&amp;D240&amp;")</f>
        <v/>
      </c>
      <c r="F240">
        <f>COMBIN(B240,D240)*C240^D240*(1-C240)^(B240-D240)</f>
        <v/>
      </c>
      <c r="G240">
        <f>F240</f>
        <v/>
      </c>
      <c r="H240">
        <f>SUM(F240:F250)</f>
        <v/>
      </c>
    </row>
    <row r="241">
      <c r="A241" t="inlineStr">
        <is>
          <t>buy100_low_10</t>
        </is>
      </c>
      <c r="B241" t="n">
        <v>10</v>
      </c>
      <c r="C241" t="n">
        <v>0.6788888199999999</v>
      </c>
      <c r="D241" t="n">
        <v>1</v>
      </c>
      <c r="E241">
        <f>"COMBIN("&amp;B241&amp;","&amp;D241&amp;")*"&amp;C241&amp;"^"&amp;D241&amp;"*(1-"&amp;C241&amp;")^("&amp;B241&amp;"-"&amp;D241&amp;")</f>
        <v/>
      </c>
      <c r="F241">
        <f>COMBIN(B241,D241)*C241^D241*(1-C241)^(B241-D241)</f>
        <v/>
      </c>
      <c r="G241">
        <f>G240+F241</f>
        <v/>
      </c>
    </row>
    <row r="242">
      <c r="A242" t="inlineStr">
        <is>
          <t>buy100_low_10</t>
        </is>
      </c>
      <c r="B242" t="n">
        <v>10</v>
      </c>
      <c r="C242" t="n">
        <v>0.6788888199999999</v>
      </c>
      <c r="D242" t="n">
        <v>2</v>
      </c>
      <c r="E242">
        <f>"COMBIN("&amp;B242&amp;","&amp;D242&amp;")*"&amp;C242&amp;"^"&amp;D242&amp;"*(1-"&amp;C242&amp;")^("&amp;B242&amp;"-"&amp;D242&amp;")</f>
        <v/>
      </c>
      <c r="F242">
        <f>COMBIN(B242,D242)*C242^D242*(1-C242)^(B242-D242)</f>
        <v/>
      </c>
      <c r="G242">
        <f>G241+F242</f>
        <v/>
      </c>
    </row>
    <row r="243">
      <c r="A243" t="inlineStr">
        <is>
          <t>buy100_low_10</t>
        </is>
      </c>
      <c r="B243" t="n">
        <v>10</v>
      </c>
      <c r="C243" t="n">
        <v>0.6788888199999999</v>
      </c>
      <c r="D243" t="n">
        <v>3</v>
      </c>
      <c r="E243">
        <f>"COMBIN("&amp;B243&amp;","&amp;D243&amp;")*"&amp;C243&amp;"^"&amp;D243&amp;"*(1-"&amp;C243&amp;")^("&amp;B243&amp;"-"&amp;D243&amp;")</f>
        <v/>
      </c>
      <c r="F243">
        <f>COMBIN(B243,D243)*C243^D243*(1-C243)^(B243-D243)</f>
        <v/>
      </c>
      <c r="G243">
        <f>G242+F243</f>
        <v/>
      </c>
    </row>
    <row r="244">
      <c r="A244" t="inlineStr">
        <is>
          <t>buy100_low_10</t>
        </is>
      </c>
      <c r="B244" t="n">
        <v>10</v>
      </c>
      <c r="C244" t="n">
        <v>0.6788888199999999</v>
      </c>
      <c r="D244" t="n">
        <v>4</v>
      </c>
      <c r="E244">
        <f>"COMBIN("&amp;B244&amp;","&amp;D244&amp;")*"&amp;C244&amp;"^"&amp;D244&amp;"*(1-"&amp;C244&amp;")^("&amp;B244&amp;"-"&amp;D244&amp;")</f>
        <v/>
      </c>
      <c r="F244">
        <f>COMBIN(B244,D244)*C244^D244*(1-C244)^(B244-D244)</f>
        <v/>
      </c>
      <c r="G244">
        <f>G243+F244</f>
        <v/>
      </c>
    </row>
    <row r="245">
      <c r="A245" t="inlineStr">
        <is>
          <t>buy100_low_10</t>
        </is>
      </c>
      <c r="B245" t="n">
        <v>10</v>
      </c>
      <c r="C245" t="n">
        <v>0.6788888199999999</v>
      </c>
      <c r="D245" t="n">
        <v>5</v>
      </c>
      <c r="E245">
        <f>"COMBIN("&amp;B245&amp;","&amp;D245&amp;")*"&amp;C245&amp;"^"&amp;D245&amp;"*(1-"&amp;C245&amp;")^("&amp;B245&amp;"-"&amp;D245&amp;")</f>
        <v/>
      </c>
      <c r="F245">
        <f>COMBIN(B245,D245)*C245^D245*(1-C245)^(B245-D245)</f>
        <v/>
      </c>
      <c r="G245">
        <f>G244+F245</f>
        <v/>
      </c>
    </row>
    <row r="246">
      <c r="A246" t="inlineStr">
        <is>
          <t>buy100_low_10</t>
        </is>
      </c>
      <c r="B246" t="n">
        <v>10</v>
      </c>
      <c r="C246" t="n">
        <v>0.6788888199999999</v>
      </c>
      <c r="D246" t="n">
        <v>6</v>
      </c>
      <c r="E246">
        <f>"COMBIN("&amp;B246&amp;","&amp;D246&amp;")*"&amp;C246&amp;"^"&amp;D246&amp;"*(1-"&amp;C246&amp;")^("&amp;B246&amp;"-"&amp;D246&amp;")</f>
        <v/>
      </c>
      <c r="F246">
        <f>COMBIN(B246,D246)*C246^D246*(1-C246)^(B246-D246)</f>
        <v/>
      </c>
      <c r="G246">
        <f>G245+F246</f>
        <v/>
      </c>
    </row>
    <row r="247">
      <c r="A247" t="inlineStr">
        <is>
          <t>buy100_low_10</t>
        </is>
      </c>
      <c r="B247" t="n">
        <v>10</v>
      </c>
      <c r="C247" t="n">
        <v>0.6788888199999999</v>
      </c>
      <c r="D247" t="n">
        <v>7</v>
      </c>
      <c r="E247">
        <f>"COMBIN("&amp;B247&amp;","&amp;D247&amp;")*"&amp;C247&amp;"^"&amp;D247&amp;"*(1-"&amp;C247&amp;")^("&amp;B247&amp;"-"&amp;D247&amp;")</f>
        <v/>
      </c>
      <c r="F247">
        <f>COMBIN(B247,D247)*C247^D247*(1-C247)^(B247-D247)</f>
        <v/>
      </c>
      <c r="G247">
        <f>G246+F247</f>
        <v/>
      </c>
    </row>
    <row r="248">
      <c r="A248" t="inlineStr">
        <is>
          <t>buy100_low_10</t>
        </is>
      </c>
      <c r="B248" t="n">
        <v>10</v>
      </c>
      <c r="C248" t="n">
        <v>0.6788888199999999</v>
      </c>
      <c r="D248" t="n">
        <v>8</v>
      </c>
      <c r="E248">
        <f>"COMBIN("&amp;B248&amp;","&amp;D248&amp;")*"&amp;C248&amp;"^"&amp;D248&amp;"*(1-"&amp;C248&amp;")^("&amp;B248&amp;"-"&amp;D248&amp;")</f>
        <v/>
      </c>
      <c r="F248">
        <f>COMBIN(B248,D248)*C248^D248*(1-C248)^(B248-D248)</f>
        <v/>
      </c>
      <c r="G248">
        <f>G247+F248</f>
        <v/>
      </c>
    </row>
    <row r="249">
      <c r="A249" t="inlineStr">
        <is>
          <t>buy100_low_10</t>
        </is>
      </c>
      <c r="B249" t="n">
        <v>10</v>
      </c>
      <c r="C249" t="n">
        <v>0.6788888199999999</v>
      </c>
      <c r="D249" t="n">
        <v>9</v>
      </c>
      <c r="E249">
        <f>"COMBIN("&amp;B249&amp;","&amp;D249&amp;")*"&amp;C249&amp;"^"&amp;D249&amp;"*(1-"&amp;C249&amp;")^("&amp;B249&amp;"-"&amp;D249&amp;")</f>
        <v/>
      </c>
      <c r="F249">
        <f>COMBIN(B249,D249)*C249^D249*(1-C249)^(B249-D249)</f>
        <v/>
      </c>
      <c r="G249">
        <f>G248+F249</f>
        <v/>
      </c>
    </row>
    <row r="250">
      <c r="A250" t="inlineStr">
        <is>
          <t>buy100_low_10</t>
        </is>
      </c>
      <c r="B250" t="n">
        <v>10</v>
      </c>
      <c r="C250" t="n">
        <v>0.6788888199999999</v>
      </c>
      <c r="D250" t="n">
        <v>10</v>
      </c>
      <c r="E250">
        <f>"COMBIN("&amp;B250&amp;","&amp;D250&amp;")*"&amp;C250&amp;"^"&amp;D250&amp;"*(1-"&amp;C250&amp;")^("&amp;B250&amp;"-"&amp;D250&amp;")</f>
        <v/>
      </c>
      <c r="F250">
        <f>COMBIN(B250,D250)*C250^D250*(1-C250)^(B250-D250)</f>
        <v/>
      </c>
      <c r="G250">
        <f>G249+F250</f>
        <v/>
      </c>
    </row>
    <row r="251">
      <c r="A251" t="inlineStr">
        <is>
          <t>buy100_low_11</t>
        </is>
      </c>
      <c r="B251" t="n">
        <v>11</v>
      </c>
      <c r="C251" t="n">
        <v>0.71448555</v>
      </c>
      <c r="D251" t="n">
        <v>0</v>
      </c>
      <c r="E251">
        <f>"COMBIN("&amp;B251&amp;","&amp;D251&amp;")*"&amp;C251&amp;"^"&amp;D251&amp;"*(1-"&amp;C251&amp;")^("&amp;B251&amp;"-"&amp;D251&amp;")</f>
        <v/>
      </c>
      <c r="F251">
        <f>COMBIN(B251,D251)*C251^D251*(1-C251)^(B251-D251)</f>
        <v/>
      </c>
      <c r="G251">
        <f>F251</f>
        <v/>
      </c>
      <c r="H251">
        <f>SUM(F251:F262)</f>
        <v/>
      </c>
    </row>
    <row r="252">
      <c r="A252" t="inlineStr">
        <is>
          <t>buy100_low_11</t>
        </is>
      </c>
      <c r="B252" t="n">
        <v>11</v>
      </c>
      <c r="C252" t="n">
        <v>0.71448555</v>
      </c>
      <c r="D252" t="n">
        <v>1</v>
      </c>
      <c r="E252">
        <f>"COMBIN("&amp;B252&amp;","&amp;D252&amp;")*"&amp;C252&amp;"^"&amp;D252&amp;"*(1-"&amp;C252&amp;")^("&amp;B252&amp;"-"&amp;D252&amp;")</f>
        <v/>
      </c>
      <c r="F252">
        <f>COMBIN(B252,D252)*C252^D252*(1-C252)^(B252-D252)</f>
        <v/>
      </c>
      <c r="G252">
        <f>G251+F252</f>
        <v/>
      </c>
    </row>
    <row r="253">
      <c r="A253" t="inlineStr">
        <is>
          <t>buy100_low_11</t>
        </is>
      </c>
      <c r="B253" t="n">
        <v>11</v>
      </c>
      <c r="C253" t="n">
        <v>0.71448555</v>
      </c>
      <c r="D253" t="n">
        <v>2</v>
      </c>
      <c r="E253">
        <f>"COMBIN("&amp;B253&amp;","&amp;D253&amp;")*"&amp;C253&amp;"^"&amp;D253&amp;"*(1-"&amp;C253&amp;")^("&amp;B253&amp;"-"&amp;D253&amp;")</f>
        <v/>
      </c>
      <c r="F253">
        <f>COMBIN(B253,D253)*C253^D253*(1-C253)^(B253-D253)</f>
        <v/>
      </c>
      <c r="G253">
        <f>G252+F253</f>
        <v/>
      </c>
    </row>
    <row r="254">
      <c r="A254" t="inlineStr">
        <is>
          <t>buy100_low_11</t>
        </is>
      </c>
      <c r="B254" t="n">
        <v>11</v>
      </c>
      <c r="C254" t="n">
        <v>0.71448555</v>
      </c>
      <c r="D254" t="n">
        <v>3</v>
      </c>
      <c r="E254">
        <f>"COMBIN("&amp;B254&amp;","&amp;D254&amp;")*"&amp;C254&amp;"^"&amp;D254&amp;"*(1-"&amp;C254&amp;")^("&amp;B254&amp;"-"&amp;D254&amp;")</f>
        <v/>
      </c>
      <c r="F254">
        <f>COMBIN(B254,D254)*C254^D254*(1-C254)^(B254-D254)</f>
        <v/>
      </c>
      <c r="G254">
        <f>G253+F254</f>
        <v/>
      </c>
    </row>
    <row r="255">
      <c r="A255" t="inlineStr">
        <is>
          <t>buy100_low_11</t>
        </is>
      </c>
      <c r="B255" t="n">
        <v>11</v>
      </c>
      <c r="C255" t="n">
        <v>0.71448555</v>
      </c>
      <c r="D255" t="n">
        <v>4</v>
      </c>
      <c r="E255">
        <f>"COMBIN("&amp;B255&amp;","&amp;D255&amp;")*"&amp;C255&amp;"^"&amp;D255&amp;"*(1-"&amp;C255&amp;")^("&amp;B255&amp;"-"&amp;D255&amp;")</f>
        <v/>
      </c>
      <c r="F255">
        <f>COMBIN(B255,D255)*C255^D255*(1-C255)^(B255-D255)</f>
        <v/>
      </c>
      <c r="G255">
        <f>G254+F255</f>
        <v/>
      </c>
    </row>
    <row r="256">
      <c r="A256" t="inlineStr">
        <is>
          <t>buy100_low_11</t>
        </is>
      </c>
      <c r="B256" t="n">
        <v>11</v>
      </c>
      <c r="C256" t="n">
        <v>0.71448555</v>
      </c>
      <c r="D256" t="n">
        <v>5</v>
      </c>
      <c r="E256">
        <f>"COMBIN("&amp;B256&amp;","&amp;D256&amp;")*"&amp;C256&amp;"^"&amp;D256&amp;"*(1-"&amp;C256&amp;")^("&amp;B256&amp;"-"&amp;D256&amp;")</f>
        <v/>
      </c>
      <c r="F256">
        <f>COMBIN(B256,D256)*C256^D256*(1-C256)^(B256-D256)</f>
        <v/>
      </c>
      <c r="G256">
        <f>G255+F256</f>
        <v/>
      </c>
    </row>
    <row r="257">
      <c r="A257" t="inlineStr">
        <is>
          <t>buy100_low_11</t>
        </is>
      </c>
      <c r="B257" t="n">
        <v>11</v>
      </c>
      <c r="C257" t="n">
        <v>0.71448555</v>
      </c>
      <c r="D257" t="n">
        <v>6</v>
      </c>
      <c r="E257">
        <f>"COMBIN("&amp;B257&amp;","&amp;D257&amp;")*"&amp;C257&amp;"^"&amp;D257&amp;"*(1-"&amp;C257&amp;")^("&amp;B257&amp;"-"&amp;D257&amp;")</f>
        <v/>
      </c>
      <c r="F257">
        <f>COMBIN(B257,D257)*C257^D257*(1-C257)^(B257-D257)</f>
        <v/>
      </c>
      <c r="G257">
        <f>G256+F257</f>
        <v/>
      </c>
    </row>
    <row r="258">
      <c r="A258" t="inlineStr">
        <is>
          <t>buy100_low_11</t>
        </is>
      </c>
      <c r="B258" t="n">
        <v>11</v>
      </c>
      <c r="C258" t="n">
        <v>0.71448555</v>
      </c>
      <c r="D258" t="n">
        <v>7</v>
      </c>
      <c r="E258">
        <f>"COMBIN("&amp;B258&amp;","&amp;D258&amp;")*"&amp;C258&amp;"^"&amp;D258&amp;"*(1-"&amp;C258&amp;")^("&amp;B258&amp;"-"&amp;D258&amp;")</f>
        <v/>
      </c>
      <c r="F258">
        <f>COMBIN(B258,D258)*C258^D258*(1-C258)^(B258-D258)</f>
        <v/>
      </c>
      <c r="G258">
        <f>G257+F258</f>
        <v/>
      </c>
    </row>
    <row r="259">
      <c r="A259" t="inlineStr">
        <is>
          <t>buy100_low_11</t>
        </is>
      </c>
      <c r="B259" t="n">
        <v>11</v>
      </c>
      <c r="C259" t="n">
        <v>0.71448555</v>
      </c>
      <c r="D259" t="n">
        <v>8</v>
      </c>
      <c r="E259">
        <f>"COMBIN("&amp;B259&amp;","&amp;D259&amp;")*"&amp;C259&amp;"^"&amp;D259&amp;"*(1-"&amp;C259&amp;")^("&amp;B259&amp;"-"&amp;D259&amp;")</f>
        <v/>
      </c>
      <c r="F259">
        <f>COMBIN(B259,D259)*C259^D259*(1-C259)^(B259-D259)</f>
        <v/>
      </c>
      <c r="G259">
        <f>G258+F259</f>
        <v/>
      </c>
    </row>
    <row r="260">
      <c r="A260" t="inlineStr">
        <is>
          <t>buy100_low_11</t>
        </is>
      </c>
      <c r="B260" t="n">
        <v>11</v>
      </c>
      <c r="C260" t="n">
        <v>0.71448555</v>
      </c>
      <c r="D260" t="n">
        <v>9</v>
      </c>
      <c r="E260">
        <f>"COMBIN("&amp;B260&amp;","&amp;D260&amp;")*"&amp;C260&amp;"^"&amp;D260&amp;"*(1-"&amp;C260&amp;")^("&amp;B260&amp;"-"&amp;D260&amp;")</f>
        <v/>
      </c>
      <c r="F260">
        <f>COMBIN(B260,D260)*C260^D260*(1-C260)^(B260-D260)</f>
        <v/>
      </c>
      <c r="G260">
        <f>G259+F260</f>
        <v/>
      </c>
    </row>
    <row r="261">
      <c r="A261" t="inlineStr">
        <is>
          <t>buy100_low_11</t>
        </is>
      </c>
      <c r="B261" t="n">
        <v>11</v>
      </c>
      <c r="C261" t="n">
        <v>0.71448555</v>
      </c>
      <c r="D261" t="n">
        <v>10</v>
      </c>
      <c r="E261">
        <f>"COMBIN("&amp;B261&amp;","&amp;D261&amp;")*"&amp;C261&amp;"^"&amp;D261&amp;"*(1-"&amp;C261&amp;")^("&amp;B261&amp;"-"&amp;D261&amp;")</f>
        <v/>
      </c>
      <c r="F261">
        <f>COMBIN(B261,D261)*C261^D261*(1-C261)^(B261-D261)</f>
        <v/>
      </c>
      <c r="G261">
        <f>G260+F261</f>
        <v/>
      </c>
    </row>
    <row r="262">
      <c r="A262" t="inlineStr">
        <is>
          <t>buy100_low_11</t>
        </is>
      </c>
      <c r="B262" t="n">
        <v>11</v>
      </c>
      <c r="C262" t="n">
        <v>0.71448555</v>
      </c>
      <c r="D262" t="n">
        <v>11</v>
      </c>
      <c r="E262">
        <f>"COMBIN("&amp;B262&amp;","&amp;D262&amp;")*"&amp;C262&amp;"^"&amp;D262&amp;"*(1-"&amp;C262&amp;")^("&amp;B262&amp;"-"&amp;D262&amp;")</f>
        <v/>
      </c>
      <c r="F262">
        <f>COMBIN(B262,D262)*C262^D262*(1-C262)^(B262-D262)</f>
        <v/>
      </c>
      <c r="G262">
        <f>G261+F262</f>
        <v/>
      </c>
    </row>
    <row r="263">
      <c r="A263" t="inlineStr">
        <is>
          <t>buy100_low_12</t>
        </is>
      </c>
      <c r="B263" t="n">
        <v>12</v>
      </c>
      <c r="C263" t="n">
        <v>0.69989846</v>
      </c>
      <c r="D263" t="n">
        <v>0</v>
      </c>
      <c r="E263">
        <f>"COMBIN("&amp;B263&amp;","&amp;D263&amp;")*"&amp;C263&amp;"^"&amp;D263&amp;"*(1-"&amp;C263&amp;")^("&amp;B263&amp;"-"&amp;D263&amp;")</f>
        <v/>
      </c>
      <c r="F263">
        <f>COMBIN(B263,D263)*C263^D263*(1-C263)^(B263-D263)</f>
        <v/>
      </c>
      <c r="G263">
        <f>F263</f>
        <v/>
      </c>
      <c r="H263">
        <f>SUM(F263:F275)</f>
        <v/>
      </c>
    </row>
    <row r="264">
      <c r="A264" t="inlineStr">
        <is>
          <t>buy100_low_12</t>
        </is>
      </c>
      <c r="B264" t="n">
        <v>12</v>
      </c>
      <c r="C264" t="n">
        <v>0.69989846</v>
      </c>
      <c r="D264" t="n">
        <v>1</v>
      </c>
      <c r="E264">
        <f>"COMBIN("&amp;B264&amp;","&amp;D264&amp;")*"&amp;C264&amp;"^"&amp;D264&amp;"*(1-"&amp;C264&amp;")^("&amp;B264&amp;"-"&amp;D264&amp;")</f>
        <v/>
      </c>
      <c r="F264">
        <f>COMBIN(B264,D264)*C264^D264*(1-C264)^(B264-D264)</f>
        <v/>
      </c>
      <c r="G264">
        <f>G263+F264</f>
        <v/>
      </c>
    </row>
    <row r="265">
      <c r="A265" t="inlineStr">
        <is>
          <t>buy100_low_12</t>
        </is>
      </c>
      <c r="B265" t="n">
        <v>12</v>
      </c>
      <c r="C265" t="n">
        <v>0.69989846</v>
      </c>
      <c r="D265" t="n">
        <v>2</v>
      </c>
      <c r="E265">
        <f>"COMBIN("&amp;B265&amp;","&amp;D265&amp;")*"&amp;C265&amp;"^"&amp;D265&amp;"*(1-"&amp;C265&amp;")^("&amp;B265&amp;"-"&amp;D265&amp;")</f>
        <v/>
      </c>
      <c r="F265">
        <f>COMBIN(B265,D265)*C265^D265*(1-C265)^(B265-D265)</f>
        <v/>
      </c>
      <c r="G265">
        <f>G264+F265</f>
        <v/>
      </c>
    </row>
    <row r="266">
      <c r="A266" t="inlineStr">
        <is>
          <t>buy100_low_12</t>
        </is>
      </c>
      <c r="B266" t="n">
        <v>12</v>
      </c>
      <c r="C266" t="n">
        <v>0.69989846</v>
      </c>
      <c r="D266" t="n">
        <v>3</v>
      </c>
      <c r="E266">
        <f>"COMBIN("&amp;B266&amp;","&amp;D266&amp;")*"&amp;C266&amp;"^"&amp;D266&amp;"*(1-"&amp;C266&amp;")^("&amp;B266&amp;"-"&amp;D266&amp;")</f>
        <v/>
      </c>
      <c r="F266">
        <f>COMBIN(B266,D266)*C266^D266*(1-C266)^(B266-D266)</f>
        <v/>
      </c>
      <c r="G266">
        <f>G265+F266</f>
        <v/>
      </c>
    </row>
    <row r="267">
      <c r="A267" t="inlineStr">
        <is>
          <t>buy100_low_12</t>
        </is>
      </c>
      <c r="B267" t="n">
        <v>12</v>
      </c>
      <c r="C267" t="n">
        <v>0.69989846</v>
      </c>
      <c r="D267" t="n">
        <v>4</v>
      </c>
      <c r="E267">
        <f>"COMBIN("&amp;B267&amp;","&amp;D267&amp;")*"&amp;C267&amp;"^"&amp;D267&amp;"*(1-"&amp;C267&amp;")^("&amp;B267&amp;"-"&amp;D267&amp;")</f>
        <v/>
      </c>
      <c r="F267">
        <f>COMBIN(B267,D267)*C267^D267*(1-C267)^(B267-D267)</f>
        <v/>
      </c>
      <c r="G267">
        <f>G266+F267</f>
        <v/>
      </c>
    </row>
    <row r="268">
      <c r="A268" t="inlineStr">
        <is>
          <t>buy100_low_12</t>
        </is>
      </c>
      <c r="B268" t="n">
        <v>12</v>
      </c>
      <c r="C268" t="n">
        <v>0.69989846</v>
      </c>
      <c r="D268" t="n">
        <v>5</v>
      </c>
      <c r="E268">
        <f>"COMBIN("&amp;B268&amp;","&amp;D268&amp;")*"&amp;C268&amp;"^"&amp;D268&amp;"*(1-"&amp;C268&amp;")^("&amp;B268&amp;"-"&amp;D268&amp;")</f>
        <v/>
      </c>
      <c r="F268">
        <f>COMBIN(B268,D268)*C268^D268*(1-C268)^(B268-D268)</f>
        <v/>
      </c>
      <c r="G268">
        <f>G267+F268</f>
        <v/>
      </c>
    </row>
    <row r="269">
      <c r="A269" t="inlineStr">
        <is>
          <t>buy100_low_12</t>
        </is>
      </c>
      <c r="B269" t="n">
        <v>12</v>
      </c>
      <c r="C269" t="n">
        <v>0.69989846</v>
      </c>
      <c r="D269" t="n">
        <v>6</v>
      </c>
      <c r="E269">
        <f>"COMBIN("&amp;B269&amp;","&amp;D269&amp;")*"&amp;C269&amp;"^"&amp;D269&amp;"*(1-"&amp;C269&amp;")^("&amp;B269&amp;"-"&amp;D269&amp;")</f>
        <v/>
      </c>
      <c r="F269">
        <f>COMBIN(B269,D269)*C269^D269*(1-C269)^(B269-D269)</f>
        <v/>
      </c>
      <c r="G269">
        <f>G268+F269</f>
        <v/>
      </c>
    </row>
    <row r="270">
      <c r="A270" t="inlineStr">
        <is>
          <t>buy100_low_12</t>
        </is>
      </c>
      <c r="B270" t="n">
        <v>12</v>
      </c>
      <c r="C270" t="n">
        <v>0.69989846</v>
      </c>
      <c r="D270" t="n">
        <v>7</v>
      </c>
      <c r="E270">
        <f>"COMBIN("&amp;B270&amp;","&amp;D270&amp;")*"&amp;C270&amp;"^"&amp;D270&amp;"*(1-"&amp;C270&amp;")^("&amp;B270&amp;"-"&amp;D270&amp;")</f>
        <v/>
      </c>
      <c r="F270">
        <f>COMBIN(B270,D270)*C270^D270*(1-C270)^(B270-D270)</f>
        <v/>
      </c>
      <c r="G270">
        <f>G269+F270</f>
        <v/>
      </c>
    </row>
    <row r="271">
      <c r="A271" t="inlineStr">
        <is>
          <t>buy100_low_12</t>
        </is>
      </c>
      <c r="B271" t="n">
        <v>12</v>
      </c>
      <c r="C271" t="n">
        <v>0.69989846</v>
      </c>
      <c r="D271" t="n">
        <v>8</v>
      </c>
      <c r="E271">
        <f>"COMBIN("&amp;B271&amp;","&amp;D271&amp;")*"&amp;C271&amp;"^"&amp;D271&amp;"*(1-"&amp;C271&amp;")^("&amp;B271&amp;"-"&amp;D271&amp;")</f>
        <v/>
      </c>
      <c r="F271">
        <f>COMBIN(B271,D271)*C271^D271*(1-C271)^(B271-D271)</f>
        <v/>
      </c>
      <c r="G271">
        <f>G270+F271</f>
        <v/>
      </c>
    </row>
    <row r="272">
      <c r="A272" t="inlineStr">
        <is>
          <t>buy100_low_12</t>
        </is>
      </c>
      <c r="B272" t="n">
        <v>12</v>
      </c>
      <c r="C272" t="n">
        <v>0.69989846</v>
      </c>
      <c r="D272" t="n">
        <v>9</v>
      </c>
      <c r="E272">
        <f>"COMBIN("&amp;B272&amp;","&amp;D272&amp;")*"&amp;C272&amp;"^"&amp;D272&amp;"*(1-"&amp;C272&amp;")^("&amp;B272&amp;"-"&amp;D272&amp;")</f>
        <v/>
      </c>
      <c r="F272">
        <f>COMBIN(B272,D272)*C272^D272*(1-C272)^(B272-D272)</f>
        <v/>
      </c>
      <c r="G272">
        <f>G271+F272</f>
        <v/>
      </c>
    </row>
    <row r="273">
      <c r="A273" t="inlineStr">
        <is>
          <t>buy100_low_12</t>
        </is>
      </c>
      <c r="B273" t="n">
        <v>12</v>
      </c>
      <c r="C273" t="n">
        <v>0.69989846</v>
      </c>
      <c r="D273" t="n">
        <v>10</v>
      </c>
      <c r="E273">
        <f>"COMBIN("&amp;B273&amp;","&amp;D273&amp;")*"&amp;C273&amp;"^"&amp;D273&amp;"*(1-"&amp;C273&amp;")^("&amp;B273&amp;"-"&amp;D273&amp;")</f>
        <v/>
      </c>
      <c r="F273">
        <f>COMBIN(B273,D273)*C273^D273*(1-C273)^(B273-D273)</f>
        <v/>
      </c>
      <c r="G273">
        <f>G272+F273</f>
        <v/>
      </c>
    </row>
    <row r="274">
      <c r="A274" t="inlineStr">
        <is>
          <t>buy100_low_12</t>
        </is>
      </c>
      <c r="B274" t="n">
        <v>12</v>
      </c>
      <c r="C274" t="n">
        <v>0.69989846</v>
      </c>
      <c r="D274" t="n">
        <v>11</v>
      </c>
      <c r="E274">
        <f>"COMBIN("&amp;B274&amp;","&amp;D274&amp;")*"&amp;C274&amp;"^"&amp;D274&amp;"*(1-"&amp;C274&amp;")^("&amp;B274&amp;"-"&amp;D274&amp;")</f>
        <v/>
      </c>
      <c r="F274">
        <f>COMBIN(B274,D274)*C274^D274*(1-C274)^(B274-D274)</f>
        <v/>
      </c>
      <c r="G274">
        <f>G273+F274</f>
        <v/>
      </c>
    </row>
    <row r="275">
      <c r="A275" t="inlineStr">
        <is>
          <t>buy100_low_12</t>
        </is>
      </c>
      <c r="B275" t="n">
        <v>12</v>
      </c>
      <c r="C275" t="n">
        <v>0.69989846</v>
      </c>
      <c r="D275" t="n">
        <v>12</v>
      </c>
      <c r="E275">
        <f>"COMBIN("&amp;B275&amp;","&amp;D275&amp;")*"&amp;C275&amp;"^"&amp;D275&amp;"*(1-"&amp;C275&amp;")^("&amp;B275&amp;"-"&amp;D275&amp;")</f>
        <v/>
      </c>
      <c r="F275">
        <f>COMBIN(B275,D275)*C275^D275*(1-C275)^(B275-D275)</f>
        <v/>
      </c>
      <c r="G275">
        <f>G274+F275</f>
        <v/>
      </c>
    </row>
    <row r="276">
      <c r="A276" t="inlineStr">
        <is>
          <t>buy100_low_13</t>
        </is>
      </c>
      <c r="B276" t="n">
        <v>13</v>
      </c>
      <c r="C276" t="n">
        <v>0.75831917</v>
      </c>
      <c r="D276" t="n">
        <v>0</v>
      </c>
      <c r="E276">
        <f>"COMBIN("&amp;B276&amp;","&amp;D276&amp;")*"&amp;C276&amp;"^"&amp;D276&amp;"*(1-"&amp;C276&amp;")^("&amp;B276&amp;"-"&amp;D276&amp;")</f>
        <v/>
      </c>
      <c r="F276">
        <f>COMBIN(B276,D276)*C276^D276*(1-C276)^(B276-D276)</f>
        <v/>
      </c>
      <c r="G276">
        <f>F276</f>
        <v/>
      </c>
      <c r="H276">
        <f>SUM(F276:F289)</f>
        <v/>
      </c>
    </row>
    <row r="277">
      <c r="A277" t="inlineStr">
        <is>
          <t>buy100_low_13</t>
        </is>
      </c>
      <c r="B277" t="n">
        <v>13</v>
      </c>
      <c r="C277" t="n">
        <v>0.75831917</v>
      </c>
      <c r="D277" t="n">
        <v>1</v>
      </c>
      <c r="E277">
        <f>"COMBIN("&amp;B277&amp;","&amp;D277&amp;")*"&amp;C277&amp;"^"&amp;D277&amp;"*(1-"&amp;C277&amp;")^("&amp;B277&amp;"-"&amp;D277&amp;")</f>
        <v/>
      </c>
      <c r="F277">
        <f>COMBIN(B277,D277)*C277^D277*(1-C277)^(B277-D277)</f>
        <v/>
      </c>
      <c r="G277">
        <f>G276+F277</f>
        <v/>
      </c>
    </row>
    <row r="278">
      <c r="A278" t="inlineStr">
        <is>
          <t>buy100_low_13</t>
        </is>
      </c>
      <c r="B278" t="n">
        <v>13</v>
      </c>
      <c r="C278" t="n">
        <v>0.75831917</v>
      </c>
      <c r="D278" t="n">
        <v>2</v>
      </c>
      <c r="E278">
        <f>"COMBIN("&amp;B278&amp;","&amp;D278&amp;")*"&amp;C278&amp;"^"&amp;D278&amp;"*(1-"&amp;C278&amp;")^("&amp;B278&amp;"-"&amp;D278&amp;")</f>
        <v/>
      </c>
      <c r="F278">
        <f>COMBIN(B278,D278)*C278^D278*(1-C278)^(B278-D278)</f>
        <v/>
      </c>
      <c r="G278">
        <f>G277+F278</f>
        <v/>
      </c>
    </row>
    <row r="279">
      <c r="A279" t="inlineStr">
        <is>
          <t>buy100_low_13</t>
        </is>
      </c>
      <c r="B279" t="n">
        <v>13</v>
      </c>
      <c r="C279" t="n">
        <v>0.75831917</v>
      </c>
      <c r="D279" t="n">
        <v>3</v>
      </c>
      <c r="E279">
        <f>"COMBIN("&amp;B279&amp;","&amp;D279&amp;")*"&amp;C279&amp;"^"&amp;D279&amp;"*(1-"&amp;C279&amp;")^("&amp;B279&amp;"-"&amp;D279&amp;")</f>
        <v/>
      </c>
      <c r="F279">
        <f>COMBIN(B279,D279)*C279^D279*(1-C279)^(B279-D279)</f>
        <v/>
      </c>
      <c r="G279">
        <f>G278+F279</f>
        <v/>
      </c>
    </row>
    <row r="280">
      <c r="A280" t="inlineStr">
        <is>
          <t>buy100_low_13</t>
        </is>
      </c>
      <c r="B280" t="n">
        <v>13</v>
      </c>
      <c r="C280" t="n">
        <v>0.75831917</v>
      </c>
      <c r="D280" t="n">
        <v>4</v>
      </c>
      <c r="E280">
        <f>"COMBIN("&amp;B280&amp;","&amp;D280&amp;")*"&amp;C280&amp;"^"&amp;D280&amp;"*(1-"&amp;C280&amp;")^("&amp;B280&amp;"-"&amp;D280&amp;")</f>
        <v/>
      </c>
      <c r="F280">
        <f>COMBIN(B280,D280)*C280^D280*(1-C280)^(B280-D280)</f>
        <v/>
      </c>
      <c r="G280">
        <f>G279+F280</f>
        <v/>
      </c>
    </row>
    <row r="281">
      <c r="A281" t="inlineStr">
        <is>
          <t>buy100_low_13</t>
        </is>
      </c>
      <c r="B281" t="n">
        <v>13</v>
      </c>
      <c r="C281" t="n">
        <v>0.75831917</v>
      </c>
      <c r="D281" t="n">
        <v>5</v>
      </c>
      <c r="E281">
        <f>"COMBIN("&amp;B281&amp;","&amp;D281&amp;")*"&amp;C281&amp;"^"&amp;D281&amp;"*(1-"&amp;C281&amp;")^("&amp;B281&amp;"-"&amp;D281&amp;")</f>
        <v/>
      </c>
      <c r="F281">
        <f>COMBIN(B281,D281)*C281^D281*(1-C281)^(B281-D281)</f>
        <v/>
      </c>
      <c r="G281">
        <f>G280+F281</f>
        <v/>
      </c>
    </row>
    <row r="282">
      <c r="A282" t="inlineStr">
        <is>
          <t>buy100_low_13</t>
        </is>
      </c>
      <c r="B282" t="n">
        <v>13</v>
      </c>
      <c r="C282" t="n">
        <v>0.75831917</v>
      </c>
      <c r="D282" t="n">
        <v>6</v>
      </c>
      <c r="E282">
        <f>"COMBIN("&amp;B282&amp;","&amp;D282&amp;")*"&amp;C282&amp;"^"&amp;D282&amp;"*(1-"&amp;C282&amp;")^("&amp;B282&amp;"-"&amp;D282&amp;")</f>
        <v/>
      </c>
      <c r="F282">
        <f>COMBIN(B282,D282)*C282^D282*(1-C282)^(B282-D282)</f>
        <v/>
      </c>
      <c r="G282">
        <f>G281+F282</f>
        <v/>
      </c>
    </row>
    <row r="283">
      <c r="A283" t="inlineStr">
        <is>
          <t>buy100_low_13</t>
        </is>
      </c>
      <c r="B283" t="n">
        <v>13</v>
      </c>
      <c r="C283" t="n">
        <v>0.75831917</v>
      </c>
      <c r="D283" t="n">
        <v>7</v>
      </c>
      <c r="E283">
        <f>"COMBIN("&amp;B283&amp;","&amp;D283&amp;")*"&amp;C283&amp;"^"&amp;D283&amp;"*(1-"&amp;C283&amp;")^("&amp;B283&amp;"-"&amp;D283&amp;")</f>
        <v/>
      </c>
      <c r="F283">
        <f>COMBIN(B283,D283)*C283^D283*(1-C283)^(B283-D283)</f>
        <v/>
      </c>
      <c r="G283">
        <f>G282+F283</f>
        <v/>
      </c>
    </row>
    <row r="284">
      <c r="A284" t="inlineStr">
        <is>
          <t>buy100_low_13</t>
        </is>
      </c>
      <c r="B284" t="n">
        <v>13</v>
      </c>
      <c r="C284" t="n">
        <v>0.75831917</v>
      </c>
      <c r="D284" t="n">
        <v>8</v>
      </c>
      <c r="E284">
        <f>"COMBIN("&amp;B284&amp;","&amp;D284&amp;")*"&amp;C284&amp;"^"&amp;D284&amp;"*(1-"&amp;C284&amp;")^("&amp;B284&amp;"-"&amp;D284&amp;")</f>
        <v/>
      </c>
      <c r="F284">
        <f>COMBIN(B284,D284)*C284^D284*(1-C284)^(B284-D284)</f>
        <v/>
      </c>
      <c r="G284">
        <f>G283+F284</f>
        <v/>
      </c>
    </row>
    <row r="285">
      <c r="A285" t="inlineStr">
        <is>
          <t>buy100_low_13</t>
        </is>
      </c>
      <c r="B285" t="n">
        <v>13</v>
      </c>
      <c r="C285" t="n">
        <v>0.75831917</v>
      </c>
      <c r="D285" t="n">
        <v>9</v>
      </c>
      <c r="E285">
        <f>"COMBIN("&amp;B285&amp;","&amp;D285&amp;")*"&amp;C285&amp;"^"&amp;D285&amp;"*(1-"&amp;C285&amp;")^("&amp;B285&amp;"-"&amp;D285&amp;")</f>
        <v/>
      </c>
      <c r="F285">
        <f>COMBIN(B285,D285)*C285^D285*(1-C285)^(B285-D285)</f>
        <v/>
      </c>
      <c r="G285">
        <f>G284+F285</f>
        <v/>
      </c>
    </row>
    <row r="286">
      <c r="A286" t="inlineStr">
        <is>
          <t>buy100_low_13</t>
        </is>
      </c>
      <c r="B286" t="n">
        <v>13</v>
      </c>
      <c r="C286" t="n">
        <v>0.75831917</v>
      </c>
      <c r="D286" t="n">
        <v>10</v>
      </c>
      <c r="E286">
        <f>"COMBIN("&amp;B286&amp;","&amp;D286&amp;")*"&amp;C286&amp;"^"&amp;D286&amp;"*(1-"&amp;C286&amp;")^("&amp;B286&amp;"-"&amp;D286&amp;")</f>
        <v/>
      </c>
      <c r="F286">
        <f>COMBIN(B286,D286)*C286^D286*(1-C286)^(B286-D286)</f>
        <v/>
      </c>
      <c r="G286">
        <f>G285+F286</f>
        <v/>
      </c>
    </row>
    <row r="287">
      <c r="A287" t="inlineStr">
        <is>
          <t>buy100_low_13</t>
        </is>
      </c>
      <c r="B287" t="n">
        <v>13</v>
      </c>
      <c r="C287" t="n">
        <v>0.75831917</v>
      </c>
      <c r="D287" t="n">
        <v>11</v>
      </c>
      <c r="E287">
        <f>"COMBIN("&amp;B287&amp;","&amp;D287&amp;")*"&amp;C287&amp;"^"&amp;D287&amp;"*(1-"&amp;C287&amp;")^("&amp;B287&amp;"-"&amp;D287&amp;")</f>
        <v/>
      </c>
      <c r="F287">
        <f>COMBIN(B287,D287)*C287^D287*(1-C287)^(B287-D287)</f>
        <v/>
      </c>
      <c r="G287">
        <f>G286+F287</f>
        <v/>
      </c>
    </row>
    <row r="288">
      <c r="A288" t="inlineStr">
        <is>
          <t>buy100_low_13</t>
        </is>
      </c>
      <c r="B288" t="n">
        <v>13</v>
      </c>
      <c r="C288" t="n">
        <v>0.75831917</v>
      </c>
      <c r="D288" t="n">
        <v>12</v>
      </c>
      <c r="E288">
        <f>"COMBIN("&amp;B288&amp;","&amp;D288&amp;")*"&amp;C288&amp;"^"&amp;D288&amp;"*(1-"&amp;C288&amp;")^("&amp;B288&amp;"-"&amp;D288&amp;")</f>
        <v/>
      </c>
      <c r="F288">
        <f>COMBIN(B288,D288)*C288^D288*(1-C288)^(B288-D288)</f>
        <v/>
      </c>
      <c r="G288">
        <f>G287+F288</f>
        <v/>
      </c>
    </row>
    <row r="289">
      <c r="A289" t="inlineStr">
        <is>
          <t>buy100_low_13</t>
        </is>
      </c>
      <c r="B289" t="n">
        <v>13</v>
      </c>
      <c r="C289" t="n">
        <v>0.75831917</v>
      </c>
      <c r="D289" t="n">
        <v>13</v>
      </c>
      <c r="E289">
        <f>"COMBIN("&amp;B289&amp;","&amp;D289&amp;")*"&amp;C289&amp;"^"&amp;D289&amp;"*(1-"&amp;C289&amp;")^("&amp;B289&amp;"-"&amp;D289&amp;")</f>
        <v/>
      </c>
      <c r="F289">
        <f>COMBIN(B289,D289)*C289^D289*(1-C289)^(B289-D289)</f>
        <v/>
      </c>
      <c r="G289">
        <f>G288+F289</f>
        <v/>
      </c>
    </row>
    <row r="290">
      <c r="A290" t="inlineStr">
        <is>
          <t>buy100_low_14</t>
        </is>
      </c>
      <c r="B290" t="n">
        <v>14</v>
      </c>
      <c r="C290" t="n">
        <v>0.79631213</v>
      </c>
      <c r="D290" t="n">
        <v>0</v>
      </c>
      <c r="E290">
        <f>"COMBIN("&amp;B290&amp;","&amp;D290&amp;")*"&amp;C290&amp;"^"&amp;D290&amp;"*(1-"&amp;C290&amp;")^("&amp;B290&amp;"-"&amp;D290&amp;")</f>
        <v/>
      </c>
      <c r="F290">
        <f>COMBIN(B290,D290)*C290^D290*(1-C290)^(B290-D290)</f>
        <v/>
      </c>
      <c r="G290">
        <f>F290</f>
        <v/>
      </c>
      <c r="H290">
        <f>SUM(F290:F304)</f>
        <v/>
      </c>
    </row>
    <row r="291">
      <c r="A291" t="inlineStr">
        <is>
          <t>buy100_low_14</t>
        </is>
      </c>
      <c r="B291" t="n">
        <v>14</v>
      </c>
      <c r="C291" t="n">
        <v>0.79631213</v>
      </c>
      <c r="D291" t="n">
        <v>1</v>
      </c>
      <c r="E291">
        <f>"COMBIN("&amp;B291&amp;","&amp;D291&amp;")*"&amp;C291&amp;"^"&amp;D291&amp;"*(1-"&amp;C291&amp;")^("&amp;B291&amp;"-"&amp;D291&amp;")</f>
        <v/>
      </c>
      <c r="F291">
        <f>COMBIN(B291,D291)*C291^D291*(1-C291)^(B291-D291)</f>
        <v/>
      </c>
      <c r="G291">
        <f>G290+F291</f>
        <v/>
      </c>
    </row>
    <row r="292">
      <c r="A292" t="inlineStr">
        <is>
          <t>buy100_low_14</t>
        </is>
      </c>
      <c r="B292" t="n">
        <v>14</v>
      </c>
      <c r="C292" t="n">
        <v>0.79631213</v>
      </c>
      <c r="D292" t="n">
        <v>2</v>
      </c>
      <c r="E292">
        <f>"COMBIN("&amp;B292&amp;","&amp;D292&amp;")*"&amp;C292&amp;"^"&amp;D292&amp;"*(1-"&amp;C292&amp;")^("&amp;B292&amp;"-"&amp;D292&amp;")</f>
        <v/>
      </c>
      <c r="F292">
        <f>COMBIN(B292,D292)*C292^D292*(1-C292)^(B292-D292)</f>
        <v/>
      </c>
      <c r="G292">
        <f>G291+F292</f>
        <v/>
      </c>
    </row>
    <row r="293">
      <c r="A293" t="inlineStr">
        <is>
          <t>buy100_low_14</t>
        </is>
      </c>
      <c r="B293" t="n">
        <v>14</v>
      </c>
      <c r="C293" t="n">
        <v>0.79631213</v>
      </c>
      <c r="D293" t="n">
        <v>3</v>
      </c>
      <c r="E293">
        <f>"COMBIN("&amp;B293&amp;","&amp;D293&amp;")*"&amp;C293&amp;"^"&amp;D293&amp;"*(1-"&amp;C293&amp;")^("&amp;B293&amp;"-"&amp;D293&amp;")</f>
        <v/>
      </c>
      <c r="F293">
        <f>COMBIN(B293,D293)*C293^D293*(1-C293)^(B293-D293)</f>
        <v/>
      </c>
      <c r="G293">
        <f>G292+F293</f>
        <v/>
      </c>
    </row>
    <row r="294">
      <c r="A294" t="inlineStr">
        <is>
          <t>buy100_low_14</t>
        </is>
      </c>
      <c r="B294" t="n">
        <v>14</v>
      </c>
      <c r="C294" t="n">
        <v>0.79631213</v>
      </c>
      <c r="D294" t="n">
        <v>4</v>
      </c>
      <c r="E294">
        <f>"COMBIN("&amp;B294&amp;","&amp;D294&amp;")*"&amp;C294&amp;"^"&amp;D294&amp;"*(1-"&amp;C294&amp;")^("&amp;B294&amp;"-"&amp;D294&amp;")</f>
        <v/>
      </c>
      <c r="F294">
        <f>COMBIN(B294,D294)*C294^D294*(1-C294)^(B294-D294)</f>
        <v/>
      </c>
      <c r="G294">
        <f>G293+F294</f>
        <v/>
      </c>
    </row>
    <row r="295">
      <c r="A295" t="inlineStr">
        <is>
          <t>buy100_low_14</t>
        </is>
      </c>
      <c r="B295" t="n">
        <v>14</v>
      </c>
      <c r="C295" t="n">
        <v>0.79631213</v>
      </c>
      <c r="D295" t="n">
        <v>5</v>
      </c>
      <c r="E295">
        <f>"COMBIN("&amp;B295&amp;","&amp;D295&amp;")*"&amp;C295&amp;"^"&amp;D295&amp;"*(1-"&amp;C295&amp;")^("&amp;B295&amp;"-"&amp;D295&amp;")</f>
        <v/>
      </c>
      <c r="F295">
        <f>COMBIN(B295,D295)*C295^D295*(1-C295)^(B295-D295)</f>
        <v/>
      </c>
      <c r="G295">
        <f>G294+F295</f>
        <v/>
      </c>
    </row>
    <row r="296">
      <c r="A296" t="inlineStr">
        <is>
          <t>buy100_low_14</t>
        </is>
      </c>
      <c r="B296" t="n">
        <v>14</v>
      </c>
      <c r="C296" t="n">
        <v>0.79631213</v>
      </c>
      <c r="D296" t="n">
        <v>6</v>
      </c>
      <c r="E296">
        <f>"COMBIN("&amp;B296&amp;","&amp;D296&amp;")*"&amp;C296&amp;"^"&amp;D296&amp;"*(1-"&amp;C296&amp;")^("&amp;B296&amp;"-"&amp;D296&amp;")</f>
        <v/>
      </c>
      <c r="F296">
        <f>COMBIN(B296,D296)*C296^D296*(1-C296)^(B296-D296)</f>
        <v/>
      </c>
      <c r="G296">
        <f>G295+F296</f>
        <v/>
      </c>
    </row>
    <row r="297">
      <c r="A297" t="inlineStr">
        <is>
          <t>buy100_low_14</t>
        </is>
      </c>
      <c r="B297" t="n">
        <v>14</v>
      </c>
      <c r="C297" t="n">
        <v>0.79631213</v>
      </c>
      <c r="D297" t="n">
        <v>7</v>
      </c>
      <c r="E297">
        <f>"COMBIN("&amp;B297&amp;","&amp;D297&amp;")*"&amp;C297&amp;"^"&amp;D297&amp;"*(1-"&amp;C297&amp;")^("&amp;B297&amp;"-"&amp;D297&amp;")</f>
        <v/>
      </c>
      <c r="F297">
        <f>COMBIN(B297,D297)*C297^D297*(1-C297)^(B297-D297)</f>
        <v/>
      </c>
      <c r="G297">
        <f>G296+F297</f>
        <v/>
      </c>
    </row>
    <row r="298">
      <c r="A298" t="inlineStr">
        <is>
          <t>buy100_low_14</t>
        </is>
      </c>
      <c r="B298" t="n">
        <v>14</v>
      </c>
      <c r="C298" t="n">
        <v>0.79631213</v>
      </c>
      <c r="D298" t="n">
        <v>8</v>
      </c>
      <c r="E298">
        <f>"COMBIN("&amp;B298&amp;","&amp;D298&amp;")*"&amp;C298&amp;"^"&amp;D298&amp;"*(1-"&amp;C298&amp;")^("&amp;B298&amp;"-"&amp;D298&amp;")</f>
        <v/>
      </c>
      <c r="F298">
        <f>COMBIN(B298,D298)*C298^D298*(1-C298)^(B298-D298)</f>
        <v/>
      </c>
      <c r="G298">
        <f>G297+F298</f>
        <v/>
      </c>
    </row>
    <row r="299">
      <c r="A299" t="inlineStr">
        <is>
          <t>buy100_low_14</t>
        </is>
      </c>
      <c r="B299" t="n">
        <v>14</v>
      </c>
      <c r="C299" t="n">
        <v>0.79631213</v>
      </c>
      <c r="D299" t="n">
        <v>9</v>
      </c>
      <c r="E299">
        <f>"COMBIN("&amp;B299&amp;","&amp;D299&amp;")*"&amp;C299&amp;"^"&amp;D299&amp;"*(1-"&amp;C299&amp;")^("&amp;B299&amp;"-"&amp;D299&amp;")</f>
        <v/>
      </c>
      <c r="F299">
        <f>COMBIN(B299,D299)*C299^D299*(1-C299)^(B299-D299)</f>
        <v/>
      </c>
      <c r="G299">
        <f>G298+F299</f>
        <v/>
      </c>
    </row>
    <row r="300">
      <c r="A300" t="inlineStr">
        <is>
          <t>buy100_low_14</t>
        </is>
      </c>
      <c r="B300" t="n">
        <v>14</v>
      </c>
      <c r="C300" t="n">
        <v>0.79631213</v>
      </c>
      <c r="D300" t="n">
        <v>10</v>
      </c>
      <c r="E300">
        <f>"COMBIN("&amp;B300&amp;","&amp;D300&amp;")*"&amp;C300&amp;"^"&amp;D300&amp;"*(1-"&amp;C300&amp;")^("&amp;B300&amp;"-"&amp;D300&amp;")</f>
        <v/>
      </c>
      <c r="F300">
        <f>COMBIN(B300,D300)*C300^D300*(1-C300)^(B300-D300)</f>
        <v/>
      </c>
      <c r="G300">
        <f>G299+F300</f>
        <v/>
      </c>
    </row>
    <row r="301">
      <c r="A301" t="inlineStr">
        <is>
          <t>buy100_low_14</t>
        </is>
      </c>
      <c r="B301" t="n">
        <v>14</v>
      </c>
      <c r="C301" t="n">
        <v>0.79631213</v>
      </c>
      <c r="D301" t="n">
        <v>11</v>
      </c>
      <c r="E301">
        <f>"COMBIN("&amp;B301&amp;","&amp;D301&amp;")*"&amp;C301&amp;"^"&amp;D301&amp;"*(1-"&amp;C301&amp;")^("&amp;B301&amp;"-"&amp;D301&amp;")</f>
        <v/>
      </c>
      <c r="F301">
        <f>COMBIN(B301,D301)*C301^D301*(1-C301)^(B301-D301)</f>
        <v/>
      </c>
      <c r="G301">
        <f>G300+F301</f>
        <v/>
      </c>
    </row>
    <row r="302">
      <c r="A302" t="inlineStr">
        <is>
          <t>buy100_low_14</t>
        </is>
      </c>
      <c r="B302" t="n">
        <v>14</v>
      </c>
      <c r="C302" t="n">
        <v>0.79631213</v>
      </c>
      <c r="D302" t="n">
        <v>12</v>
      </c>
      <c r="E302">
        <f>"COMBIN("&amp;B302&amp;","&amp;D302&amp;")*"&amp;C302&amp;"^"&amp;D302&amp;"*(1-"&amp;C302&amp;")^("&amp;B302&amp;"-"&amp;D302&amp;")</f>
        <v/>
      </c>
      <c r="F302">
        <f>COMBIN(B302,D302)*C302^D302*(1-C302)^(B302-D302)</f>
        <v/>
      </c>
      <c r="G302">
        <f>G301+F302</f>
        <v/>
      </c>
    </row>
    <row r="303">
      <c r="A303" t="inlineStr">
        <is>
          <t>buy100_low_14</t>
        </is>
      </c>
      <c r="B303" t="n">
        <v>14</v>
      </c>
      <c r="C303" t="n">
        <v>0.79631213</v>
      </c>
      <c r="D303" t="n">
        <v>13</v>
      </c>
      <c r="E303">
        <f>"COMBIN("&amp;B303&amp;","&amp;D303&amp;")*"&amp;C303&amp;"^"&amp;D303&amp;"*(1-"&amp;C303&amp;")^("&amp;B303&amp;"-"&amp;D303&amp;")</f>
        <v/>
      </c>
      <c r="F303">
        <f>COMBIN(B303,D303)*C303^D303*(1-C303)^(B303-D303)</f>
        <v/>
      </c>
      <c r="G303">
        <f>G302+F303</f>
        <v/>
      </c>
    </row>
    <row r="304">
      <c r="A304" t="inlineStr">
        <is>
          <t>buy100_low_14</t>
        </is>
      </c>
      <c r="B304" t="n">
        <v>14</v>
      </c>
      <c r="C304" t="n">
        <v>0.79631213</v>
      </c>
      <c r="D304" t="n">
        <v>14</v>
      </c>
      <c r="E304">
        <f>"COMBIN("&amp;B304&amp;","&amp;D304&amp;")*"&amp;C304&amp;"^"&amp;D304&amp;"*(1-"&amp;C304&amp;")^("&amp;B304&amp;"-"&amp;D304&amp;")</f>
        <v/>
      </c>
      <c r="F304">
        <f>COMBIN(B304,D304)*C304^D304*(1-C304)^(B304-D304)</f>
        <v/>
      </c>
      <c r="G304">
        <f>G303+F304</f>
        <v/>
      </c>
    </row>
    <row r="305">
      <c r="A305" t="inlineStr">
        <is>
          <t>buy100_low_15</t>
        </is>
      </c>
      <c r="B305" t="n">
        <v>15</v>
      </c>
      <c r="C305" t="n">
        <v>0.67975952</v>
      </c>
      <c r="D305" t="n">
        <v>0</v>
      </c>
      <c r="E305">
        <f>"COMBIN("&amp;B305&amp;","&amp;D305&amp;")*"&amp;C305&amp;"^"&amp;D305&amp;"*(1-"&amp;C305&amp;")^("&amp;B305&amp;"-"&amp;D305&amp;")</f>
        <v/>
      </c>
      <c r="F305">
        <f>COMBIN(B305,D305)*C305^D305*(1-C305)^(B305-D305)</f>
        <v/>
      </c>
      <c r="G305">
        <f>F305</f>
        <v/>
      </c>
      <c r="H305">
        <f>SUM(F305:F320)</f>
        <v/>
      </c>
    </row>
    <row r="306">
      <c r="A306" t="inlineStr">
        <is>
          <t>buy100_low_15</t>
        </is>
      </c>
      <c r="B306" t="n">
        <v>15</v>
      </c>
      <c r="C306" t="n">
        <v>0.67975952</v>
      </c>
      <c r="D306" t="n">
        <v>1</v>
      </c>
      <c r="E306">
        <f>"COMBIN("&amp;B306&amp;","&amp;D306&amp;")*"&amp;C306&amp;"^"&amp;D306&amp;"*(1-"&amp;C306&amp;")^("&amp;B306&amp;"-"&amp;D306&amp;")</f>
        <v/>
      </c>
      <c r="F306">
        <f>COMBIN(B306,D306)*C306^D306*(1-C306)^(B306-D306)</f>
        <v/>
      </c>
      <c r="G306">
        <f>G305+F306</f>
        <v/>
      </c>
    </row>
    <row r="307">
      <c r="A307" t="inlineStr">
        <is>
          <t>buy100_low_15</t>
        </is>
      </c>
      <c r="B307" t="n">
        <v>15</v>
      </c>
      <c r="C307" t="n">
        <v>0.67975952</v>
      </c>
      <c r="D307" t="n">
        <v>2</v>
      </c>
      <c r="E307">
        <f>"COMBIN("&amp;B307&amp;","&amp;D307&amp;")*"&amp;C307&amp;"^"&amp;D307&amp;"*(1-"&amp;C307&amp;")^("&amp;B307&amp;"-"&amp;D307&amp;")</f>
        <v/>
      </c>
      <c r="F307">
        <f>COMBIN(B307,D307)*C307^D307*(1-C307)^(B307-D307)</f>
        <v/>
      </c>
      <c r="G307">
        <f>G306+F307</f>
        <v/>
      </c>
    </row>
    <row r="308">
      <c r="A308" t="inlineStr">
        <is>
          <t>buy100_low_15</t>
        </is>
      </c>
      <c r="B308" t="n">
        <v>15</v>
      </c>
      <c r="C308" t="n">
        <v>0.67975952</v>
      </c>
      <c r="D308" t="n">
        <v>3</v>
      </c>
      <c r="E308">
        <f>"COMBIN("&amp;B308&amp;","&amp;D308&amp;")*"&amp;C308&amp;"^"&amp;D308&amp;"*(1-"&amp;C308&amp;")^("&amp;B308&amp;"-"&amp;D308&amp;")</f>
        <v/>
      </c>
      <c r="F308">
        <f>COMBIN(B308,D308)*C308^D308*(1-C308)^(B308-D308)</f>
        <v/>
      </c>
      <c r="G308">
        <f>G307+F308</f>
        <v/>
      </c>
    </row>
    <row r="309">
      <c r="A309" t="inlineStr">
        <is>
          <t>buy100_low_15</t>
        </is>
      </c>
      <c r="B309" t="n">
        <v>15</v>
      </c>
      <c r="C309" t="n">
        <v>0.67975952</v>
      </c>
      <c r="D309" t="n">
        <v>4</v>
      </c>
      <c r="E309">
        <f>"COMBIN("&amp;B309&amp;","&amp;D309&amp;")*"&amp;C309&amp;"^"&amp;D309&amp;"*(1-"&amp;C309&amp;")^("&amp;B309&amp;"-"&amp;D309&amp;")</f>
        <v/>
      </c>
      <c r="F309">
        <f>COMBIN(B309,D309)*C309^D309*(1-C309)^(B309-D309)</f>
        <v/>
      </c>
      <c r="G309">
        <f>G308+F309</f>
        <v/>
      </c>
    </row>
    <row r="310">
      <c r="A310" t="inlineStr">
        <is>
          <t>buy100_low_15</t>
        </is>
      </c>
      <c r="B310" t="n">
        <v>15</v>
      </c>
      <c r="C310" t="n">
        <v>0.67975952</v>
      </c>
      <c r="D310" t="n">
        <v>5</v>
      </c>
      <c r="E310">
        <f>"COMBIN("&amp;B310&amp;","&amp;D310&amp;")*"&amp;C310&amp;"^"&amp;D310&amp;"*(1-"&amp;C310&amp;")^("&amp;B310&amp;"-"&amp;D310&amp;")</f>
        <v/>
      </c>
      <c r="F310">
        <f>COMBIN(B310,D310)*C310^D310*(1-C310)^(B310-D310)</f>
        <v/>
      </c>
      <c r="G310">
        <f>G309+F310</f>
        <v/>
      </c>
    </row>
    <row r="311">
      <c r="A311" t="inlineStr">
        <is>
          <t>buy100_low_15</t>
        </is>
      </c>
      <c r="B311" t="n">
        <v>15</v>
      </c>
      <c r="C311" t="n">
        <v>0.67975952</v>
      </c>
      <c r="D311" t="n">
        <v>6</v>
      </c>
      <c r="E311">
        <f>"COMBIN("&amp;B311&amp;","&amp;D311&amp;")*"&amp;C311&amp;"^"&amp;D311&amp;"*(1-"&amp;C311&amp;")^("&amp;B311&amp;"-"&amp;D311&amp;")</f>
        <v/>
      </c>
      <c r="F311">
        <f>COMBIN(B311,D311)*C311^D311*(1-C311)^(B311-D311)</f>
        <v/>
      </c>
      <c r="G311">
        <f>G310+F311</f>
        <v/>
      </c>
    </row>
    <row r="312">
      <c r="A312" t="inlineStr">
        <is>
          <t>buy100_low_15</t>
        </is>
      </c>
      <c r="B312" t="n">
        <v>15</v>
      </c>
      <c r="C312" t="n">
        <v>0.67975952</v>
      </c>
      <c r="D312" t="n">
        <v>7</v>
      </c>
      <c r="E312">
        <f>"COMBIN("&amp;B312&amp;","&amp;D312&amp;")*"&amp;C312&amp;"^"&amp;D312&amp;"*(1-"&amp;C312&amp;")^("&amp;B312&amp;"-"&amp;D312&amp;")</f>
        <v/>
      </c>
      <c r="F312">
        <f>COMBIN(B312,D312)*C312^D312*(1-C312)^(B312-D312)</f>
        <v/>
      </c>
      <c r="G312">
        <f>G311+F312</f>
        <v/>
      </c>
    </row>
    <row r="313">
      <c r="A313" t="inlineStr">
        <is>
          <t>buy100_low_15</t>
        </is>
      </c>
      <c r="B313" t="n">
        <v>15</v>
      </c>
      <c r="C313" t="n">
        <v>0.67975952</v>
      </c>
      <c r="D313" t="n">
        <v>8</v>
      </c>
      <c r="E313">
        <f>"COMBIN("&amp;B313&amp;","&amp;D313&amp;")*"&amp;C313&amp;"^"&amp;D313&amp;"*(1-"&amp;C313&amp;")^("&amp;B313&amp;"-"&amp;D313&amp;")</f>
        <v/>
      </c>
      <c r="F313">
        <f>COMBIN(B313,D313)*C313^D313*(1-C313)^(B313-D313)</f>
        <v/>
      </c>
      <c r="G313">
        <f>G312+F313</f>
        <v/>
      </c>
    </row>
    <row r="314">
      <c r="A314" t="inlineStr">
        <is>
          <t>buy100_low_15</t>
        </is>
      </c>
      <c r="B314" t="n">
        <v>15</v>
      </c>
      <c r="C314" t="n">
        <v>0.67975952</v>
      </c>
      <c r="D314" t="n">
        <v>9</v>
      </c>
      <c r="E314">
        <f>"COMBIN("&amp;B314&amp;","&amp;D314&amp;")*"&amp;C314&amp;"^"&amp;D314&amp;"*(1-"&amp;C314&amp;")^("&amp;B314&amp;"-"&amp;D314&amp;")</f>
        <v/>
      </c>
      <c r="F314">
        <f>COMBIN(B314,D314)*C314^D314*(1-C314)^(B314-D314)</f>
        <v/>
      </c>
      <c r="G314">
        <f>G313+F314</f>
        <v/>
      </c>
    </row>
    <row r="315">
      <c r="A315" t="inlineStr">
        <is>
          <t>buy100_low_15</t>
        </is>
      </c>
      <c r="B315" t="n">
        <v>15</v>
      </c>
      <c r="C315" t="n">
        <v>0.67975952</v>
      </c>
      <c r="D315" t="n">
        <v>10</v>
      </c>
      <c r="E315">
        <f>"COMBIN("&amp;B315&amp;","&amp;D315&amp;")*"&amp;C315&amp;"^"&amp;D315&amp;"*(1-"&amp;C315&amp;")^("&amp;B315&amp;"-"&amp;D315&amp;")</f>
        <v/>
      </c>
      <c r="F315">
        <f>COMBIN(B315,D315)*C315^D315*(1-C315)^(B315-D315)</f>
        <v/>
      </c>
      <c r="G315">
        <f>G314+F315</f>
        <v/>
      </c>
    </row>
    <row r="316">
      <c r="A316" t="inlineStr">
        <is>
          <t>buy100_low_15</t>
        </is>
      </c>
      <c r="B316" t="n">
        <v>15</v>
      </c>
      <c r="C316" t="n">
        <v>0.67975952</v>
      </c>
      <c r="D316" t="n">
        <v>11</v>
      </c>
      <c r="E316">
        <f>"COMBIN("&amp;B316&amp;","&amp;D316&amp;")*"&amp;C316&amp;"^"&amp;D316&amp;"*(1-"&amp;C316&amp;")^("&amp;B316&amp;"-"&amp;D316&amp;")</f>
        <v/>
      </c>
      <c r="F316">
        <f>COMBIN(B316,D316)*C316^D316*(1-C316)^(B316-D316)</f>
        <v/>
      </c>
      <c r="G316">
        <f>G315+F316</f>
        <v/>
      </c>
    </row>
    <row r="317">
      <c r="A317" t="inlineStr">
        <is>
          <t>buy100_low_15</t>
        </is>
      </c>
      <c r="B317" t="n">
        <v>15</v>
      </c>
      <c r="C317" t="n">
        <v>0.67975952</v>
      </c>
      <c r="D317" t="n">
        <v>12</v>
      </c>
      <c r="E317">
        <f>"COMBIN("&amp;B317&amp;","&amp;D317&amp;")*"&amp;C317&amp;"^"&amp;D317&amp;"*(1-"&amp;C317&amp;")^("&amp;B317&amp;"-"&amp;D317&amp;")</f>
        <v/>
      </c>
      <c r="F317">
        <f>COMBIN(B317,D317)*C317^D317*(1-C317)^(B317-D317)</f>
        <v/>
      </c>
      <c r="G317">
        <f>G316+F317</f>
        <v/>
      </c>
    </row>
    <row r="318">
      <c r="A318" t="inlineStr">
        <is>
          <t>buy100_low_15</t>
        </is>
      </c>
      <c r="B318" t="n">
        <v>15</v>
      </c>
      <c r="C318" t="n">
        <v>0.67975952</v>
      </c>
      <c r="D318" t="n">
        <v>13</v>
      </c>
      <c r="E318">
        <f>"COMBIN("&amp;B318&amp;","&amp;D318&amp;")*"&amp;C318&amp;"^"&amp;D318&amp;"*(1-"&amp;C318&amp;")^("&amp;B318&amp;"-"&amp;D318&amp;")</f>
        <v/>
      </c>
      <c r="F318">
        <f>COMBIN(B318,D318)*C318^D318*(1-C318)^(B318-D318)</f>
        <v/>
      </c>
      <c r="G318">
        <f>G317+F318</f>
        <v/>
      </c>
    </row>
    <row r="319">
      <c r="A319" t="inlineStr">
        <is>
          <t>buy100_low_15</t>
        </is>
      </c>
      <c r="B319" t="n">
        <v>15</v>
      </c>
      <c r="C319" t="n">
        <v>0.67975952</v>
      </c>
      <c r="D319" t="n">
        <v>14</v>
      </c>
      <c r="E319">
        <f>"COMBIN("&amp;B319&amp;","&amp;D319&amp;")*"&amp;C319&amp;"^"&amp;D319&amp;"*(1-"&amp;C319&amp;")^("&amp;B319&amp;"-"&amp;D319&amp;")</f>
        <v/>
      </c>
      <c r="F319">
        <f>COMBIN(B319,D319)*C319^D319*(1-C319)^(B319-D319)</f>
        <v/>
      </c>
      <c r="G319">
        <f>G318+F319</f>
        <v/>
      </c>
    </row>
    <row r="320">
      <c r="A320" t="inlineStr">
        <is>
          <t>buy100_low_15</t>
        </is>
      </c>
      <c r="B320" t="n">
        <v>15</v>
      </c>
      <c r="C320" t="n">
        <v>0.67975952</v>
      </c>
      <c r="D320" t="n">
        <v>15</v>
      </c>
      <c r="E320">
        <f>"COMBIN("&amp;B320&amp;","&amp;D320&amp;")*"&amp;C320&amp;"^"&amp;D320&amp;"*(1-"&amp;C320&amp;")^("&amp;B320&amp;"-"&amp;D320&amp;")</f>
        <v/>
      </c>
      <c r="F320">
        <f>COMBIN(B320,D320)*C320^D320*(1-C320)^(B320-D320)</f>
        <v/>
      </c>
      <c r="G320">
        <f>G319+F320</f>
        <v/>
      </c>
    </row>
    <row r="321">
      <c r="A321" t="inlineStr">
        <is>
          <t>buy100_low_16</t>
        </is>
      </c>
      <c r="B321" t="n">
        <v>16</v>
      </c>
      <c r="C321" t="n">
        <v>0.68477751</v>
      </c>
      <c r="D321" t="n">
        <v>0</v>
      </c>
      <c r="E321">
        <f>"COMBIN("&amp;B321&amp;","&amp;D321&amp;")*"&amp;C321&amp;"^"&amp;D321&amp;"*(1-"&amp;C321&amp;")^("&amp;B321&amp;"-"&amp;D321&amp;")</f>
        <v/>
      </c>
      <c r="F321">
        <f>COMBIN(B321,D321)*C321^D321*(1-C321)^(B321-D321)</f>
        <v/>
      </c>
      <c r="G321">
        <f>F321</f>
        <v/>
      </c>
      <c r="H321">
        <f>SUM(F321:F337)</f>
        <v/>
      </c>
    </row>
    <row r="322">
      <c r="A322" t="inlineStr">
        <is>
          <t>buy100_low_16</t>
        </is>
      </c>
      <c r="B322" t="n">
        <v>16</v>
      </c>
      <c r="C322" t="n">
        <v>0.68477751</v>
      </c>
      <c r="D322" t="n">
        <v>1</v>
      </c>
      <c r="E322">
        <f>"COMBIN("&amp;B322&amp;","&amp;D322&amp;")*"&amp;C322&amp;"^"&amp;D322&amp;"*(1-"&amp;C322&amp;")^("&amp;B322&amp;"-"&amp;D322&amp;")</f>
        <v/>
      </c>
      <c r="F322">
        <f>COMBIN(B322,D322)*C322^D322*(1-C322)^(B322-D322)</f>
        <v/>
      </c>
      <c r="G322">
        <f>G321+F322</f>
        <v/>
      </c>
    </row>
    <row r="323">
      <c r="A323" t="inlineStr">
        <is>
          <t>buy100_low_16</t>
        </is>
      </c>
      <c r="B323" t="n">
        <v>16</v>
      </c>
      <c r="C323" t="n">
        <v>0.68477751</v>
      </c>
      <c r="D323" t="n">
        <v>2</v>
      </c>
      <c r="E323">
        <f>"COMBIN("&amp;B323&amp;","&amp;D323&amp;")*"&amp;C323&amp;"^"&amp;D323&amp;"*(1-"&amp;C323&amp;")^("&amp;B323&amp;"-"&amp;D323&amp;")</f>
        <v/>
      </c>
      <c r="F323">
        <f>COMBIN(B323,D323)*C323^D323*(1-C323)^(B323-D323)</f>
        <v/>
      </c>
      <c r="G323">
        <f>G322+F323</f>
        <v/>
      </c>
    </row>
    <row r="324">
      <c r="A324" t="inlineStr">
        <is>
          <t>buy100_low_16</t>
        </is>
      </c>
      <c r="B324" t="n">
        <v>16</v>
      </c>
      <c r="C324" t="n">
        <v>0.68477751</v>
      </c>
      <c r="D324" t="n">
        <v>3</v>
      </c>
      <c r="E324">
        <f>"COMBIN("&amp;B324&amp;","&amp;D324&amp;")*"&amp;C324&amp;"^"&amp;D324&amp;"*(1-"&amp;C324&amp;")^("&amp;B324&amp;"-"&amp;D324&amp;")</f>
        <v/>
      </c>
      <c r="F324">
        <f>COMBIN(B324,D324)*C324^D324*(1-C324)^(B324-D324)</f>
        <v/>
      </c>
      <c r="G324">
        <f>G323+F324</f>
        <v/>
      </c>
    </row>
    <row r="325">
      <c r="A325" t="inlineStr">
        <is>
          <t>buy100_low_16</t>
        </is>
      </c>
      <c r="B325" t="n">
        <v>16</v>
      </c>
      <c r="C325" t="n">
        <v>0.68477751</v>
      </c>
      <c r="D325" t="n">
        <v>4</v>
      </c>
      <c r="E325">
        <f>"COMBIN("&amp;B325&amp;","&amp;D325&amp;")*"&amp;C325&amp;"^"&amp;D325&amp;"*(1-"&amp;C325&amp;")^("&amp;B325&amp;"-"&amp;D325&amp;")</f>
        <v/>
      </c>
      <c r="F325">
        <f>COMBIN(B325,D325)*C325^D325*(1-C325)^(B325-D325)</f>
        <v/>
      </c>
      <c r="G325">
        <f>G324+F325</f>
        <v/>
      </c>
    </row>
    <row r="326">
      <c r="A326" t="inlineStr">
        <is>
          <t>buy100_low_16</t>
        </is>
      </c>
      <c r="B326" t="n">
        <v>16</v>
      </c>
      <c r="C326" t="n">
        <v>0.68477751</v>
      </c>
      <c r="D326" t="n">
        <v>5</v>
      </c>
      <c r="E326">
        <f>"COMBIN("&amp;B326&amp;","&amp;D326&amp;")*"&amp;C326&amp;"^"&amp;D326&amp;"*(1-"&amp;C326&amp;")^("&amp;B326&amp;"-"&amp;D326&amp;")</f>
        <v/>
      </c>
      <c r="F326">
        <f>COMBIN(B326,D326)*C326^D326*(1-C326)^(B326-D326)</f>
        <v/>
      </c>
      <c r="G326">
        <f>G325+F326</f>
        <v/>
      </c>
    </row>
    <row r="327">
      <c r="A327" t="inlineStr">
        <is>
          <t>buy100_low_16</t>
        </is>
      </c>
      <c r="B327" t="n">
        <v>16</v>
      </c>
      <c r="C327" t="n">
        <v>0.68477751</v>
      </c>
      <c r="D327" t="n">
        <v>6</v>
      </c>
      <c r="E327">
        <f>"COMBIN("&amp;B327&amp;","&amp;D327&amp;")*"&amp;C327&amp;"^"&amp;D327&amp;"*(1-"&amp;C327&amp;")^("&amp;B327&amp;"-"&amp;D327&amp;")</f>
        <v/>
      </c>
      <c r="F327">
        <f>COMBIN(B327,D327)*C327^D327*(1-C327)^(B327-D327)</f>
        <v/>
      </c>
      <c r="G327">
        <f>G326+F327</f>
        <v/>
      </c>
    </row>
    <row r="328">
      <c r="A328" t="inlineStr">
        <is>
          <t>buy100_low_16</t>
        </is>
      </c>
      <c r="B328" t="n">
        <v>16</v>
      </c>
      <c r="C328" t="n">
        <v>0.68477751</v>
      </c>
      <c r="D328" t="n">
        <v>7</v>
      </c>
      <c r="E328">
        <f>"COMBIN("&amp;B328&amp;","&amp;D328&amp;")*"&amp;C328&amp;"^"&amp;D328&amp;"*(1-"&amp;C328&amp;")^("&amp;B328&amp;"-"&amp;D328&amp;")</f>
        <v/>
      </c>
      <c r="F328">
        <f>COMBIN(B328,D328)*C328^D328*(1-C328)^(B328-D328)</f>
        <v/>
      </c>
      <c r="G328">
        <f>G327+F328</f>
        <v/>
      </c>
    </row>
    <row r="329">
      <c r="A329" t="inlineStr">
        <is>
          <t>buy100_low_16</t>
        </is>
      </c>
      <c r="B329" t="n">
        <v>16</v>
      </c>
      <c r="C329" t="n">
        <v>0.68477751</v>
      </c>
      <c r="D329" t="n">
        <v>8</v>
      </c>
      <c r="E329">
        <f>"COMBIN("&amp;B329&amp;","&amp;D329&amp;")*"&amp;C329&amp;"^"&amp;D329&amp;"*(1-"&amp;C329&amp;")^("&amp;B329&amp;"-"&amp;D329&amp;")</f>
        <v/>
      </c>
      <c r="F329">
        <f>COMBIN(B329,D329)*C329^D329*(1-C329)^(B329-D329)</f>
        <v/>
      </c>
      <c r="G329">
        <f>G328+F329</f>
        <v/>
      </c>
    </row>
    <row r="330">
      <c r="A330" t="inlineStr">
        <is>
          <t>buy100_low_16</t>
        </is>
      </c>
      <c r="B330" t="n">
        <v>16</v>
      </c>
      <c r="C330" t="n">
        <v>0.68477751</v>
      </c>
      <c r="D330" t="n">
        <v>9</v>
      </c>
      <c r="E330">
        <f>"COMBIN("&amp;B330&amp;","&amp;D330&amp;")*"&amp;C330&amp;"^"&amp;D330&amp;"*(1-"&amp;C330&amp;")^("&amp;B330&amp;"-"&amp;D330&amp;")</f>
        <v/>
      </c>
      <c r="F330">
        <f>COMBIN(B330,D330)*C330^D330*(1-C330)^(B330-D330)</f>
        <v/>
      </c>
      <c r="G330">
        <f>G329+F330</f>
        <v/>
      </c>
    </row>
    <row r="331">
      <c r="A331" t="inlineStr">
        <is>
          <t>buy100_low_16</t>
        </is>
      </c>
      <c r="B331" t="n">
        <v>16</v>
      </c>
      <c r="C331" t="n">
        <v>0.68477751</v>
      </c>
      <c r="D331" t="n">
        <v>10</v>
      </c>
      <c r="E331">
        <f>"COMBIN("&amp;B331&amp;","&amp;D331&amp;")*"&amp;C331&amp;"^"&amp;D331&amp;"*(1-"&amp;C331&amp;")^("&amp;B331&amp;"-"&amp;D331&amp;")</f>
        <v/>
      </c>
      <c r="F331">
        <f>COMBIN(B331,D331)*C331^D331*(1-C331)^(B331-D331)</f>
        <v/>
      </c>
      <c r="G331">
        <f>G330+F331</f>
        <v/>
      </c>
    </row>
    <row r="332">
      <c r="A332" t="inlineStr">
        <is>
          <t>buy100_low_16</t>
        </is>
      </c>
      <c r="B332" t="n">
        <v>16</v>
      </c>
      <c r="C332" t="n">
        <v>0.68477751</v>
      </c>
      <c r="D332" t="n">
        <v>11</v>
      </c>
      <c r="E332">
        <f>"COMBIN("&amp;B332&amp;","&amp;D332&amp;")*"&amp;C332&amp;"^"&amp;D332&amp;"*(1-"&amp;C332&amp;")^("&amp;B332&amp;"-"&amp;D332&amp;")</f>
        <v/>
      </c>
      <c r="F332">
        <f>COMBIN(B332,D332)*C332^D332*(1-C332)^(B332-D332)</f>
        <v/>
      </c>
      <c r="G332">
        <f>G331+F332</f>
        <v/>
      </c>
    </row>
    <row r="333">
      <c r="A333" t="inlineStr">
        <is>
          <t>buy100_low_16</t>
        </is>
      </c>
      <c r="B333" t="n">
        <v>16</v>
      </c>
      <c r="C333" t="n">
        <v>0.68477751</v>
      </c>
      <c r="D333" t="n">
        <v>12</v>
      </c>
      <c r="E333">
        <f>"COMBIN("&amp;B333&amp;","&amp;D333&amp;")*"&amp;C333&amp;"^"&amp;D333&amp;"*(1-"&amp;C333&amp;")^("&amp;B333&amp;"-"&amp;D333&amp;")</f>
        <v/>
      </c>
      <c r="F333">
        <f>COMBIN(B333,D333)*C333^D333*(1-C333)^(B333-D333)</f>
        <v/>
      </c>
      <c r="G333">
        <f>G332+F333</f>
        <v/>
      </c>
    </row>
    <row r="334">
      <c r="A334" t="inlineStr">
        <is>
          <t>buy100_low_16</t>
        </is>
      </c>
      <c r="B334" t="n">
        <v>16</v>
      </c>
      <c r="C334" t="n">
        <v>0.68477751</v>
      </c>
      <c r="D334" t="n">
        <v>13</v>
      </c>
      <c r="E334">
        <f>"COMBIN("&amp;B334&amp;","&amp;D334&amp;")*"&amp;C334&amp;"^"&amp;D334&amp;"*(1-"&amp;C334&amp;")^("&amp;B334&amp;"-"&amp;D334&amp;")</f>
        <v/>
      </c>
      <c r="F334">
        <f>COMBIN(B334,D334)*C334^D334*(1-C334)^(B334-D334)</f>
        <v/>
      </c>
      <c r="G334">
        <f>G333+F334</f>
        <v/>
      </c>
    </row>
    <row r="335">
      <c r="A335" t="inlineStr">
        <is>
          <t>buy100_low_16</t>
        </is>
      </c>
      <c r="B335" t="n">
        <v>16</v>
      </c>
      <c r="C335" t="n">
        <v>0.68477751</v>
      </c>
      <c r="D335" t="n">
        <v>14</v>
      </c>
      <c r="E335">
        <f>"COMBIN("&amp;B335&amp;","&amp;D335&amp;")*"&amp;C335&amp;"^"&amp;D335&amp;"*(1-"&amp;C335&amp;")^("&amp;B335&amp;"-"&amp;D335&amp;")</f>
        <v/>
      </c>
      <c r="F335">
        <f>COMBIN(B335,D335)*C335^D335*(1-C335)^(B335-D335)</f>
        <v/>
      </c>
      <c r="G335">
        <f>G334+F335</f>
        <v/>
      </c>
    </row>
    <row r="336">
      <c r="A336" t="inlineStr">
        <is>
          <t>buy100_low_16</t>
        </is>
      </c>
      <c r="B336" t="n">
        <v>16</v>
      </c>
      <c r="C336" t="n">
        <v>0.68477751</v>
      </c>
      <c r="D336" t="n">
        <v>15</v>
      </c>
      <c r="E336">
        <f>"COMBIN("&amp;B336&amp;","&amp;D336&amp;")*"&amp;C336&amp;"^"&amp;D336&amp;"*(1-"&amp;C336&amp;")^("&amp;B336&amp;"-"&amp;D336&amp;")</f>
        <v/>
      </c>
      <c r="F336">
        <f>COMBIN(B336,D336)*C336^D336*(1-C336)^(B336-D336)</f>
        <v/>
      </c>
      <c r="G336">
        <f>G335+F336</f>
        <v/>
      </c>
    </row>
    <row r="337">
      <c r="A337" t="inlineStr">
        <is>
          <t>buy100_low_16</t>
        </is>
      </c>
      <c r="B337" t="n">
        <v>16</v>
      </c>
      <c r="C337" t="n">
        <v>0.68477751</v>
      </c>
      <c r="D337" t="n">
        <v>16</v>
      </c>
      <c r="E337">
        <f>"COMBIN("&amp;B337&amp;","&amp;D337&amp;")*"&amp;C337&amp;"^"&amp;D337&amp;"*(1-"&amp;C337&amp;")^("&amp;B337&amp;"-"&amp;D337&amp;")</f>
        <v/>
      </c>
      <c r="F337">
        <f>COMBIN(B337,D337)*C337^D337*(1-C337)^(B337-D337)</f>
        <v/>
      </c>
      <c r="G337">
        <f>G336+F337</f>
        <v/>
      </c>
    </row>
    <row r="338">
      <c r="A338" t="inlineStr">
        <is>
          <t>buy100_low_8</t>
        </is>
      </c>
      <c r="B338" t="n">
        <v>8</v>
      </c>
      <c r="C338" t="n">
        <v>0.73307423</v>
      </c>
      <c r="D338" t="n">
        <v>0</v>
      </c>
      <c r="E338">
        <f>"COMBIN("&amp;B338&amp;","&amp;D338&amp;")*"&amp;C338&amp;"^"&amp;D338&amp;"*(1-"&amp;C338&amp;")^("&amp;B338&amp;"-"&amp;D338&amp;")</f>
        <v/>
      </c>
      <c r="F338">
        <f>COMBIN(B338,D338)*C338^D338*(1-C338)^(B338-D338)</f>
        <v/>
      </c>
      <c r="G338">
        <f>F338</f>
        <v/>
      </c>
      <c r="H338">
        <f>SUM(F338:F346)</f>
        <v/>
      </c>
    </row>
    <row r="339">
      <c r="A339" t="inlineStr">
        <is>
          <t>buy100_low_8</t>
        </is>
      </c>
      <c r="B339" t="n">
        <v>8</v>
      </c>
      <c r="C339" t="n">
        <v>0.73307423</v>
      </c>
      <c r="D339" t="n">
        <v>1</v>
      </c>
      <c r="E339">
        <f>"COMBIN("&amp;B339&amp;","&amp;D339&amp;")*"&amp;C339&amp;"^"&amp;D339&amp;"*(1-"&amp;C339&amp;")^("&amp;B339&amp;"-"&amp;D339&amp;")</f>
        <v/>
      </c>
      <c r="F339">
        <f>COMBIN(B339,D339)*C339^D339*(1-C339)^(B339-D339)</f>
        <v/>
      </c>
      <c r="G339">
        <f>G338+F339</f>
        <v/>
      </c>
    </row>
    <row r="340">
      <c r="A340" t="inlineStr">
        <is>
          <t>buy100_low_8</t>
        </is>
      </c>
      <c r="B340" t="n">
        <v>8</v>
      </c>
      <c r="C340" t="n">
        <v>0.73307423</v>
      </c>
      <c r="D340" t="n">
        <v>2</v>
      </c>
      <c r="E340">
        <f>"COMBIN("&amp;B340&amp;","&amp;D340&amp;")*"&amp;C340&amp;"^"&amp;D340&amp;"*(1-"&amp;C340&amp;")^("&amp;B340&amp;"-"&amp;D340&amp;")</f>
        <v/>
      </c>
      <c r="F340">
        <f>COMBIN(B340,D340)*C340^D340*(1-C340)^(B340-D340)</f>
        <v/>
      </c>
      <c r="G340">
        <f>G339+F340</f>
        <v/>
      </c>
    </row>
    <row r="341">
      <c r="A341" t="inlineStr">
        <is>
          <t>buy100_low_8</t>
        </is>
      </c>
      <c r="B341" t="n">
        <v>8</v>
      </c>
      <c r="C341" t="n">
        <v>0.73307423</v>
      </c>
      <c r="D341" t="n">
        <v>3</v>
      </c>
      <c r="E341">
        <f>"COMBIN("&amp;B341&amp;","&amp;D341&amp;")*"&amp;C341&amp;"^"&amp;D341&amp;"*(1-"&amp;C341&amp;")^("&amp;B341&amp;"-"&amp;D341&amp;")</f>
        <v/>
      </c>
      <c r="F341">
        <f>COMBIN(B341,D341)*C341^D341*(1-C341)^(B341-D341)</f>
        <v/>
      </c>
      <c r="G341">
        <f>G340+F341</f>
        <v/>
      </c>
    </row>
    <row r="342">
      <c r="A342" t="inlineStr">
        <is>
          <t>buy100_low_8</t>
        </is>
      </c>
      <c r="B342" t="n">
        <v>8</v>
      </c>
      <c r="C342" t="n">
        <v>0.73307423</v>
      </c>
      <c r="D342" t="n">
        <v>4</v>
      </c>
      <c r="E342">
        <f>"COMBIN("&amp;B342&amp;","&amp;D342&amp;")*"&amp;C342&amp;"^"&amp;D342&amp;"*(1-"&amp;C342&amp;")^("&amp;B342&amp;"-"&amp;D342&amp;")</f>
        <v/>
      </c>
      <c r="F342">
        <f>COMBIN(B342,D342)*C342^D342*(1-C342)^(B342-D342)</f>
        <v/>
      </c>
      <c r="G342">
        <f>G341+F342</f>
        <v/>
      </c>
    </row>
    <row r="343">
      <c r="A343" t="inlineStr">
        <is>
          <t>buy100_low_8</t>
        </is>
      </c>
      <c r="B343" t="n">
        <v>8</v>
      </c>
      <c r="C343" t="n">
        <v>0.73307423</v>
      </c>
      <c r="D343" t="n">
        <v>5</v>
      </c>
      <c r="E343">
        <f>"COMBIN("&amp;B343&amp;","&amp;D343&amp;")*"&amp;C343&amp;"^"&amp;D343&amp;"*(1-"&amp;C343&amp;")^("&amp;B343&amp;"-"&amp;D343&amp;")</f>
        <v/>
      </c>
      <c r="F343">
        <f>COMBIN(B343,D343)*C343^D343*(1-C343)^(B343-D343)</f>
        <v/>
      </c>
      <c r="G343">
        <f>G342+F343</f>
        <v/>
      </c>
    </row>
    <row r="344">
      <c r="A344" t="inlineStr">
        <is>
          <t>buy100_low_8</t>
        </is>
      </c>
      <c r="B344" t="n">
        <v>8</v>
      </c>
      <c r="C344" t="n">
        <v>0.73307423</v>
      </c>
      <c r="D344" t="n">
        <v>6</v>
      </c>
      <c r="E344">
        <f>"COMBIN("&amp;B344&amp;","&amp;D344&amp;")*"&amp;C344&amp;"^"&amp;D344&amp;"*(1-"&amp;C344&amp;")^("&amp;B344&amp;"-"&amp;D344&amp;")</f>
        <v/>
      </c>
      <c r="F344">
        <f>COMBIN(B344,D344)*C344^D344*(1-C344)^(B344-D344)</f>
        <v/>
      </c>
      <c r="G344">
        <f>G343+F344</f>
        <v/>
      </c>
    </row>
    <row r="345">
      <c r="A345" t="inlineStr">
        <is>
          <t>buy100_low_8</t>
        </is>
      </c>
      <c r="B345" t="n">
        <v>8</v>
      </c>
      <c r="C345" t="n">
        <v>0.73307423</v>
      </c>
      <c r="D345" t="n">
        <v>7</v>
      </c>
      <c r="E345">
        <f>"COMBIN("&amp;B345&amp;","&amp;D345&amp;")*"&amp;C345&amp;"^"&amp;D345&amp;"*(1-"&amp;C345&amp;")^("&amp;B345&amp;"-"&amp;D345&amp;")</f>
        <v/>
      </c>
      <c r="F345">
        <f>COMBIN(B345,D345)*C345^D345*(1-C345)^(B345-D345)</f>
        <v/>
      </c>
      <c r="G345">
        <f>G344+F345</f>
        <v/>
      </c>
    </row>
    <row r="346">
      <c r="A346" t="inlineStr">
        <is>
          <t>buy100_low_8</t>
        </is>
      </c>
      <c r="B346" t="n">
        <v>8</v>
      </c>
      <c r="C346" t="n">
        <v>0.73307423</v>
      </c>
      <c r="D346" t="n">
        <v>8</v>
      </c>
      <c r="E346">
        <f>"COMBIN("&amp;B346&amp;","&amp;D346&amp;")*"&amp;C346&amp;"^"&amp;D346&amp;"*(1-"&amp;C346&amp;")^("&amp;B346&amp;"-"&amp;D346&amp;")</f>
        <v/>
      </c>
      <c r="F346">
        <f>COMBIN(B346,D346)*C346^D346*(1-C346)^(B346-D346)</f>
        <v/>
      </c>
      <c r="G346">
        <f>G345+F346</f>
        <v/>
      </c>
    </row>
    <row r="347">
      <c r="A347" t="inlineStr">
        <is>
          <t>buy100_low_9</t>
        </is>
      </c>
      <c r="B347" t="n">
        <v>9</v>
      </c>
      <c r="C347" t="n">
        <v>0.75852495</v>
      </c>
      <c r="D347" t="n">
        <v>0</v>
      </c>
      <c r="E347">
        <f>"COMBIN("&amp;B347&amp;","&amp;D347&amp;")*"&amp;C347&amp;"^"&amp;D347&amp;"*(1-"&amp;C347&amp;")^("&amp;B347&amp;"-"&amp;D347&amp;")</f>
        <v/>
      </c>
      <c r="F347">
        <f>COMBIN(B347,D347)*C347^D347*(1-C347)^(B347-D347)</f>
        <v/>
      </c>
      <c r="G347">
        <f>F347</f>
        <v/>
      </c>
      <c r="H347">
        <f>SUM(F347:F356)</f>
        <v/>
      </c>
    </row>
    <row r="348">
      <c r="A348" t="inlineStr">
        <is>
          <t>buy100_low_9</t>
        </is>
      </c>
      <c r="B348" t="n">
        <v>9</v>
      </c>
      <c r="C348" t="n">
        <v>0.75852495</v>
      </c>
      <c r="D348" t="n">
        <v>1</v>
      </c>
      <c r="E348">
        <f>"COMBIN("&amp;B348&amp;","&amp;D348&amp;")*"&amp;C348&amp;"^"&amp;D348&amp;"*(1-"&amp;C348&amp;")^("&amp;B348&amp;"-"&amp;D348&amp;")</f>
        <v/>
      </c>
      <c r="F348">
        <f>COMBIN(B348,D348)*C348^D348*(1-C348)^(B348-D348)</f>
        <v/>
      </c>
      <c r="G348">
        <f>G347+F348</f>
        <v/>
      </c>
    </row>
    <row r="349">
      <c r="A349" t="inlineStr">
        <is>
          <t>buy100_low_9</t>
        </is>
      </c>
      <c r="B349" t="n">
        <v>9</v>
      </c>
      <c r="C349" t="n">
        <v>0.75852495</v>
      </c>
      <c r="D349" t="n">
        <v>2</v>
      </c>
      <c r="E349">
        <f>"COMBIN("&amp;B349&amp;","&amp;D349&amp;")*"&amp;C349&amp;"^"&amp;D349&amp;"*(1-"&amp;C349&amp;")^("&amp;B349&amp;"-"&amp;D349&amp;")</f>
        <v/>
      </c>
      <c r="F349">
        <f>COMBIN(B349,D349)*C349^D349*(1-C349)^(B349-D349)</f>
        <v/>
      </c>
      <c r="G349">
        <f>G348+F349</f>
        <v/>
      </c>
    </row>
    <row r="350">
      <c r="A350" t="inlineStr">
        <is>
          <t>buy100_low_9</t>
        </is>
      </c>
      <c r="B350" t="n">
        <v>9</v>
      </c>
      <c r="C350" t="n">
        <v>0.75852495</v>
      </c>
      <c r="D350" t="n">
        <v>3</v>
      </c>
      <c r="E350">
        <f>"COMBIN("&amp;B350&amp;","&amp;D350&amp;")*"&amp;C350&amp;"^"&amp;D350&amp;"*(1-"&amp;C350&amp;")^("&amp;B350&amp;"-"&amp;D350&amp;")</f>
        <v/>
      </c>
      <c r="F350">
        <f>COMBIN(B350,D350)*C350^D350*(1-C350)^(B350-D350)</f>
        <v/>
      </c>
      <c r="G350">
        <f>G349+F350</f>
        <v/>
      </c>
    </row>
    <row r="351">
      <c r="A351" t="inlineStr">
        <is>
          <t>buy100_low_9</t>
        </is>
      </c>
      <c r="B351" t="n">
        <v>9</v>
      </c>
      <c r="C351" t="n">
        <v>0.75852495</v>
      </c>
      <c r="D351" t="n">
        <v>4</v>
      </c>
      <c r="E351">
        <f>"COMBIN("&amp;B351&amp;","&amp;D351&amp;")*"&amp;C351&amp;"^"&amp;D351&amp;"*(1-"&amp;C351&amp;")^("&amp;B351&amp;"-"&amp;D351&amp;")</f>
        <v/>
      </c>
      <c r="F351">
        <f>COMBIN(B351,D351)*C351^D351*(1-C351)^(B351-D351)</f>
        <v/>
      </c>
      <c r="G351">
        <f>G350+F351</f>
        <v/>
      </c>
    </row>
    <row r="352">
      <c r="A352" t="inlineStr">
        <is>
          <t>buy100_low_9</t>
        </is>
      </c>
      <c r="B352" t="n">
        <v>9</v>
      </c>
      <c r="C352" t="n">
        <v>0.75852495</v>
      </c>
      <c r="D352" t="n">
        <v>5</v>
      </c>
      <c r="E352">
        <f>"COMBIN("&amp;B352&amp;","&amp;D352&amp;")*"&amp;C352&amp;"^"&amp;D352&amp;"*(1-"&amp;C352&amp;")^("&amp;B352&amp;"-"&amp;D352&amp;")</f>
        <v/>
      </c>
      <c r="F352">
        <f>COMBIN(B352,D352)*C352^D352*(1-C352)^(B352-D352)</f>
        <v/>
      </c>
      <c r="G352">
        <f>G351+F352</f>
        <v/>
      </c>
    </row>
    <row r="353">
      <c r="A353" t="inlineStr">
        <is>
          <t>buy100_low_9</t>
        </is>
      </c>
      <c r="B353" t="n">
        <v>9</v>
      </c>
      <c r="C353" t="n">
        <v>0.75852495</v>
      </c>
      <c r="D353" t="n">
        <v>6</v>
      </c>
      <c r="E353">
        <f>"COMBIN("&amp;B353&amp;","&amp;D353&amp;")*"&amp;C353&amp;"^"&amp;D353&amp;"*(1-"&amp;C353&amp;")^("&amp;B353&amp;"-"&amp;D353&amp;")</f>
        <v/>
      </c>
      <c r="F353">
        <f>COMBIN(B353,D353)*C353^D353*(1-C353)^(B353-D353)</f>
        <v/>
      </c>
      <c r="G353">
        <f>G352+F353</f>
        <v/>
      </c>
    </row>
    <row r="354">
      <c r="A354" t="inlineStr">
        <is>
          <t>buy100_low_9</t>
        </is>
      </c>
      <c r="B354" t="n">
        <v>9</v>
      </c>
      <c r="C354" t="n">
        <v>0.75852495</v>
      </c>
      <c r="D354" t="n">
        <v>7</v>
      </c>
      <c r="E354">
        <f>"COMBIN("&amp;B354&amp;","&amp;D354&amp;")*"&amp;C354&amp;"^"&amp;D354&amp;"*(1-"&amp;C354&amp;")^("&amp;B354&amp;"-"&amp;D354&amp;")</f>
        <v/>
      </c>
      <c r="F354">
        <f>COMBIN(B354,D354)*C354^D354*(1-C354)^(B354-D354)</f>
        <v/>
      </c>
      <c r="G354">
        <f>G353+F354</f>
        <v/>
      </c>
    </row>
    <row r="355">
      <c r="A355" t="inlineStr">
        <is>
          <t>buy100_low_9</t>
        </is>
      </c>
      <c r="B355" t="n">
        <v>9</v>
      </c>
      <c r="C355" t="n">
        <v>0.75852495</v>
      </c>
      <c r="D355" t="n">
        <v>8</v>
      </c>
      <c r="E355">
        <f>"COMBIN("&amp;B355&amp;","&amp;D355&amp;")*"&amp;C355&amp;"^"&amp;D355&amp;"*(1-"&amp;C355&amp;")^("&amp;B355&amp;"-"&amp;D355&amp;")</f>
        <v/>
      </c>
      <c r="F355">
        <f>COMBIN(B355,D355)*C355^D355*(1-C355)^(B355-D355)</f>
        <v/>
      </c>
      <c r="G355">
        <f>G354+F355</f>
        <v/>
      </c>
    </row>
    <row r="356">
      <c r="A356" t="inlineStr">
        <is>
          <t>buy100_low_9</t>
        </is>
      </c>
      <c r="B356" t="n">
        <v>9</v>
      </c>
      <c r="C356" t="n">
        <v>0.75852495</v>
      </c>
      <c r="D356" t="n">
        <v>9</v>
      </c>
      <c r="E356">
        <f>"COMBIN("&amp;B356&amp;","&amp;D356&amp;")*"&amp;C356&amp;"^"&amp;D356&amp;"*(1-"&amp;C356&amp;")^("&amp;B356&amp;"-"&amp;D356&amp;")</f>
        <v/>
      </c>
      <c r="F356">
        <f>COMBIN(B356,D356)*C356^D356*(1-C356)^(B356-D356)</f>
        <v/>
      </c>
      <c r="G356">
        <f>G355+F356</f>
        <v/>
      </c>
    </row>
    <row r="357">
      <c r="A357" t="inlineStr">
        <is>
          <t>buy100_medium_10</t>
        </is>
      </c>
      <c r="B357" t="n">
        <v>10</v>
      </c>
      <c r="C357" t="n">
        <v>0.7238362</v>
      </c>
      <c r="D357" t="n">
        <v>0</v>
      </c>
      <c r="E357">
        <f>"COMBIN("&amp;B357&amp;","&amp;D357&amp;")*"&amp;C357&amp;"^"&amp;D357&amp;"*(1-"&amp;C357&amp;")^("&amp;B357&amp;"-"&amp;D357&amp;")</f>
        <v/>
      </c>
      <c r="F357">
        <f>COMBIN(B357,D357)*C357^D357*(1-C357)^(B357-D357)</f>
        <v/>
      </c>
      <c r="G357">
        <f>F357</f>
        <v/>
      </c>
      <c r="H357">
        <f>SUM(F357:F367)</f>
        <v/>
      </c>
    </row>
    <row r="358">
      <c r="A358" t="inlineStr">
        <is>
          <t>buy100_medium_10</t>
        </is>
      </c>
      <c r="B358" t="n">
        <v>10</v>
      </c>
      <c r="C358" t="n">
        <v>0.7238362</v>
      </c>
      <c r="D358" t="n">
        <v>1</v>
      </c>
      <c r="E358">
        <f>"COMBIN("&amp;B358&amp;","&amp;D358&amp;")*"&amp;C358&amp;"^"&amp;D358&amp;"*(1-"&amp;C358&amp;")^("&amp;B358&amp;"-"&amp;D358&amp;")</f>
        <v/>
      </c>
      <c r="F358">
        <f>COMBIN(B358,D358)*C358^D358*(1-C358)^(B358-D358)</f>
        <v/>
      </c>
      <c r="G358">
        <f>G357+F358</f>
        <v/>
      </c>
    </row>
    <row r="359">
      <c r="A359" t="inlineStr">
        <is>
          <t>buy100_medium_10</t>
        </is>
      </c>
      <c r="B359" t="n">
        <v>10</v>
      </c>
      <c r="C359" t="n">
        <v>0.7238362</v>
      </c>
      <c r="D359" t="n">
        <v>2</v>
      </c>
      <c r="E359">
        <f>"COMBIN("&amp;B359&amp;","&amp;D359&amp;")*"&amp;C359&amp;"^"&amp;D359&amp;"*(1-"&amp;C359&amp;")^("&amp;B359&amp;"-"&amp;D359&amp;")</f>
        <v/>
      </c>
      <c r="F359">
        <f>COMBIN(B359,D359)*C359^D359*(1-C359)^(B359-D359)</f>
        <v/>
      </c>
      <c r="G359">
        <f>G358+F359</f>
        <v/>
      </c>
    </row>
    <row r="360">
      <c r="A360" t="inlineStr">
        <is>
          <t>buy100_medium_10</t>
        </is>
      </c>
      <c r="B360" t="n">
        <v>10</v>
      </c>
      <c r="C360" t="n">
        <v>0.7238362</v>
      </c>
      <c r="D360" t="n">
        <v>3</v>
      </c>
      <c r="E360">
        <f>"COMBIN("&amp;B360&amp;","&amp;D360&amp;")*"&amp;C360&amp;"^"&amp;D360&amp;"*(1-"&amp;C360&amp;")^("&amp;B360&amp;"-"&amp;D360&amp;")</f>
        <v/>
      </c>
      <c r="F360">
        <f>COMBIN(B360,D360)*C360^D360*(1-C360)^(B360-D360)</f>
        <v/>
      </c>
      <c r="G360">
        <f>G359+F360</f>
        <v/>
      </c>
    </row>
    <row r="361">
      <c r="A361" t="inlineStr">
        <is>
          <t>buy100_medium_10</t>
        </is>
      </c>
      <c r="B361" t="n">
        <v>10</v>
      </c>
      <c r="C361" t="n">
        <v>0.7238362</v>
      </c>
      <c r="D361" t="n">
        <v>4</v>
      </c>
      <c r="E361">
        <f>"COMBIN("&amp;B361&amp;","&amp;D361&amp;")*"&amp;C361&amp;"^"&amp;D361&amp;"*(1-"&amp;C361&amp;")^("&amp;B361&amp;"-"&amp;D361&amp;")</f>
        <v/>
      </c>
      <c r="F361">
        <f>COMBIN(B361,D361)*C361^D361*(1-C361)^(B361-D361)</f>
        <v/>
      </c>
      <c r="G361">
        <f>G360+F361</f>
        <v/>
      </c>
    </row>
    <row r="362">
      <c r="A362" t="inlineStr">
        <is>
          <t>buy100_medium_10</t>
        </is>
      </c>
      <c r="B362" t="n">
        <v>10</v>
      </c>
      <c r="C362" t="n">
        <v>0.7238362</v>
      </c>
      <c r="D362" t="n">
        <v>5</v>
      </c>
      <c r="E362">
        <f>"COMBIN("&amp;B362&amp;","&amp;D362&amp;")*"&amp;C362&amp;"^"&amp;D362&amp;"*(1-"&amp;C362&amp;")^("&amp;B362&amp;"-"&amp;D362&amp;")</f>
        <v/>
      </c>
      <c r="F362">
        <f>COMBIN(B362,D362)*C362^D362*(1-C362)^(B362-D362)</f>
        <v/>
      </c>
      <c r="G362">
        <f>G361+F362</f>
        <v/>
      </c>
    </row>
    <row r="363">
      <c r="A363" t="inlineStr">
        <is>
          <t>buy100_medium_10</t>
        </is>
      </c>
      <c r="B363" t="n">
        <v>10</v>
      </c>
      <c r="C363" t="n">
        <v>0.7238362</v>
      </c>
      <c r="D363" t="n">
        <v>6</v>
      </c>
      <c r="E363">
        <f>"COMBIN("&amp;B363&amp;","&amp;D363&amp;")*"&amp;C363&amp;"^"&amp;D363&amp;"*(1-"&amp;C363&amp;")^("&amp;B363&amp;"-"&amp;D363&amp;")</f>
        <v/>
      </c>
      <c r="F363">
        <f>COMBIN(B363,D363)*C363^D363*(1-C363)^(B363-D363)</f>
        <v/>
      </c>
      <c r="G363">
        <f>G362+F363</f>
        <v/>
      </c>
    </row>
    <row r="364">
      <c r="A364" t="inlineStr">
        <is>
          <t>buy100_medium_10</t>
        </is>
      </c>
      <c r="B364" t="n">
        <v>10</v>
      </c>
      <c r="C364" t="n">
        <v>0.7238362</v>
      </c>
      <c r="D364" t="n">
        <v>7</v>
      </c>
      <c r="E364">
        <f>"COMBIN("&amp;B364&amp;","&amp;D364&amp;")*"&amp;C364&amp;"^"&amp;D364&amp;"*(1-"&amp;C364&amp;")^("&amp;B364&amp;"-"&amp;D364&amp;")</f>
        <v/>
      </c>
      <c r="F364">
        <f>COMBIN(B364,D364)*C364^D364*(1-C364)^(B364-D364)</f>
        <v/>
      </c>
      <c r="G364">
        <f>G363+F364</f>
        <v/>
      </c>
    </row>
    <row r="365">
      <c r="A365" t="inlineStr">
        <is>
          <t>buy100_medium_10</t>
        </is>
      </c>
      <c r="B365" t="n">
        <v>10</v>
      </c>
      <c r="C365" t="n">
        <v>0.7238362</v>
      </c>
      <c r="D365" t="n">
        <v>8</v>
      </c>
      <c r="E365">
        <f>"COMBIN("&amp;B365&amp;","&amp;D365&amp;")*"&amp;C365&amp;"^"&amp;D365&amp;"*(1-"&amp;C365&amp;")^("&amp;B365&amp;"-"&amp;D365&amp;")</f>
        <v/>
      </c>
      <c r="F365">
        <f>COMBIN(B365,D365)*C365^D365*(1-C365)^(B365-D365)</f>
        <v/>
      </c>
      <c r="G365">
        <f>G364+F365</f>
        <v/>
      </c>
    </row>
    <row r="366">
      <c r="A366" t="inlineStr">
        <is>
          <t>buy100_medium_10</t>
        </is>
      </c>
      <c r="B366" t="n">
        <v>10</v>
      </c>
      <c r="C366" t="n">
        <v>0.7238362</v>
      </c>
      <c r="D366" t="n">
        <v>9</v>
      </c>
      <c r="E366">
        <f>"COMBIN("&amp;B366&amp;","&amp;D366&amp;")*"&amp;C366&amp;"^"&amp;D366&amp;"*(1-"&amp;C366&amp;")^("&amp;B366&amp;"-"&amp;D366&amp;")</f>
        <v/>
      </c>
      <c r="F366">
        <f>COMBIN(B366,D366)*C366^D366*(1-C366)^(B366-D366)</f>
        <v/>
      </c>
      <c r="G366">
        <f>G365+F366</f>
        <v/>
      </c>
    </row>
    <row r="367">
      <c r="A367" t="inlineStr">
        <is>
          <t>buy100_medium_10</t>
        </is>
      </c>
      <c r="B367" t="n">
        <v>10</v>
      </c>
      <c r="C367" t="n">
        <v>0.7238362</v>
      </c>
      <c r="D367" t="n">
        <v>10</v>
      </c>
      <c r="E367">
        <f>"COMBIN("&amp;B367&amp;","&amp;D367&amp;")*"&amp;C367&amp;"^"&amp;D367&amp;"*(1-"&amp;C367&amp;")^("&amp;B367&amp;"-"&amp;D367&amp;")</f>
        <v/>
      </c>
      <c r="F367">
        <f>COMBIN(B367,D367)*C367^D367*(1-C367)^(B367-D367)</f>
        <v/>
      </c>
      <c r="G367">
        <f>G366+F367</f>
        <v/>
      </c>
    </row>
    <row r="368">
      <c r="A368" t="inlineStr">
        <is>
          <t>buy100_medium_11</t>
        </is>
      </c>
      <c r="B368" t="n">
        <v>11</v>
      </c>
      <c r="C368" t="n">
        <v>0.73952088</v>
      </c>
      <c r="D368" t="n">
        <v>0</v>
      </c>
      <c r="E368">
        <f>"COMBIN("&amp;B368&amp;","&amp;D368&amp;")*"&amp;C368&amp;"^"&amp;D368&amp;"*(1-"&amp;C368&amp;")^("&amp;B368&amp;"-"&amp;D368&amp;")</f>
        <v/>
      </c>
      <c r="F368">
        <f>COMBIN(B368,D368)*C368^D368*(1-C368)^(B368-D368)</f>
        <v/>
      </c>
      <c r="G368">
        <f>F368</f>
        <v/>
      </c>
      <c r="H368">
        <f>SUM(F368:F379)</f>
        <v/>
      </c>
    </row>
    <row r="369">
      <c r="A369" t="inlineStr">
        <is>
          <t>buy100_medium_11</t>
        </is>
      </c>
      <c r="B369" t="n">
        <v>11</v>
      </c>
      <c r="C369" t="n">
        <v>0.73952088</v>
      </c>
      <c r="D369" t="n">
        <v>1</v>
      </c>
      <c r="E369">
        <f>"COMBIN("&amp;B369&amp;","&amp;D369&amp;")*"&amp;C369&amp;"^"&amp;D369&amp;"*(1-"&amp;C369&amp;")^("&amp;B369&amp;"-"&amp;D369&amp;")</f>
        <v/>
      </c>
      <c r="F369">
        <f>COMBIN(B369,D369)*C369^D369*(1-C369)^(B369-D369)</f>
        <v/>
      </c>
      <c r="G369">
        <f>G368+F369</f>
        <v/>
      </c>
    </row>
    <row r="370">
      <c r="A370" t="inlineStr">
        <is>
          <t>buy100_medium_11</t>
        </is>
      </c>
      <c r="B370" t="n">
        <v>11</v>
      </c>
      <c r="C370" t="n">
        <v>0.73952088</v>
      </c>
      <c r="D370" t="n">
        <v>2</v>
      </c>
      <c r="E370">
        <f>"COMBIN("&amp;B370&amp;","&amp;D370&amp;")*"&amp;C370&amp;"^"&amp;D370&amp;"*(1-"&amp;C370&amp;")^("&amp;B370&amp;"-"&amp;D370&amp;")</f>
        <v/>
      </c>
      <c r="F370">
        <f>COMBIN(B370,D370)*C370^D370*(1-C370)^(B370-D370)</f>
        <v/>
      </c>
      <c r="G370">
        <f>G369+F370</f>
        <v/>
      </c>
    </row>
    <row r="371">
      <c r="A371" t="inlineStr">
        <is>
          <t>buy100_medium_11</t>
        </is>
      </c>
      <c r="B371" t="n">
        <v>11</v>
      </c>
      <c r="C371" t="n">
        <v>0.73952088</v>
      </c>
      <c r="D371" t="n">
        <v>3</v>
      </c>
      <c r="E371">
        <f>"COMBIN("&amp;B371&amp;","&amp;D371&amp;")*"&amp;C371&amp;"^"&amp;D371&amp;"*(1-"&amp;C371&amp;")^("&amp;B371&amp;"-"&amp;D371&amp;")</f>
        <v/>
      </c>
      <c r="F371">
        <f>COMBIN(B371,D371)*C371^D371*(1-C371)^(B371-D371)</f>
        <v/>
      </c>
      <c r="G371">
        <f>G370+F371</f>
        <v/>
      </c>
    </row>
    <row r="372">
      <c r="A372" t="inlineStr">
        <is>
          <t>buy100_medium_11</t>
        </is>
      </c>
      <c r="B372" t="n">
        <v>11</v>
      </c>
      <c r="C372" t="n">
        <v>0.73952088</v>
      </c>
      <c r="D372" t="n">
        <v>4</v>
      </c>
      <c r="E372">
        <f>"COMBIN("&amp;B372&amp;","&amp;D372&amp;")*"&amp;C372&amp;"^"&amp;D372&amp;"*(1-"&amp;C372&amp;")^("&amp;B372&amp;"-"&amp;D372&amp;")</f>
        <v/>
      </c>
      <c r="F372">
        <f>COMBIN(B372,D372)*C372^D372*(1-C372)^(B372-D372)</f>
        <v/>
      </c>
      <c r="G372">
        <f>G371+F372</f>
        <v/>
      </c>
    </row>
    <row r="373">
      <c r="A373" t="inlineStr">
        <is>
          <t>buy100_medium_11</t>
        </is>
      </c>
      <c r="B373" t="n">
        <v>11</v>
      </c>
      <c r="C373" t="n">
        <v>0.73952088</v>
      </c>
      <c r="D373" t="n">
        <v>5</v>
      </c>
      <c r="E373">
        <f>"COMBIN("&amp;B373&amp;","&amp;D373&amp;")*"&amp;C373&amp;"^"&amp;D373&amp;"*(1-"&amp;C373&amp;")^("&amp;B373&amp;"-"&amp;D373&amp;")</f>
        <v/>
      </c>
      <c r="F373">
        <f>COMBIN(B373,D373)*C373^D373*(1-C373)^(B373-D373)</f>
        <v/>
      </c>
      <c r="G373">
        <f>G372+F373</f>
        <v/>
      </c>
    </row>
    <row r="374">
      <c r="A374" t="inlineStr">
        <is>
          <t>buy100_medium_11</t>
        </is>
      </c>
      <c r="B374" t="n">
        <v>11</v>
      </c>
      <c r="C374" t="n">
        <v>0.73952088</v>
      </c>
      <c r="D374" t="n">
        <v>6</v>
      </c>
      <c r="E374">
        <f>"COMBIN("&amp;B374&amp;","&amp;D374&amp;")*"&amp;C374&amp;"^"&amp;D374&amp;"*(1-"&amp;C374&amp;")^("&amp;B374&amp;"-"&amp;D374&amp;")</f>
        <v/>
      </c>
      <c r="F374">
        <f>COMBIN(B374,D374)*C374^D374*(1-C374)^(B374-D374)</f>
        <v/>
      </c>
      <c r="G374">
        <f>G373+F374</f>
        <v/>
      </c>
    </row>
    <row r="375">
      <c r="A375" t="inlineStr">
        <is>
          <t>buy100_medium_11</t>
        </is>
      </c>
      <c r="B375" t="n">
        <v>11</v>
      </c>
      <c r="C375" t="n">
        <v>0.73952088</v>
      </c>
      <c r="D375" t="n">
        <v>7</v>
      </c>
      <c r="E375">
        <f>"COMBIN("&amp;B375&amp;","&amp;D375&amp;")*"&amp;C375&amp;"^"&amp;D375&amp;"*(1-"&amp;C375&amp;")^("&amp;B375&amp;"-"&amp;D375&amp;")</f>
        <v/>
      </c>
      <c r="F375">
        <f>COMBIN(B375,D375)*C375^D375*(1-C375)^(B375-D375)</f>
        <v/>
      </c>
      <c r="G375">
        <f>G374+F375</f>
        <v/>
      </c>
    </row>
    <row r="376">
      <c r="A376" t="inlineStr">
        <is>
          <t>buy100_medium_11</t>
        </is>
      </c>
      <c r="B376" t="n">
        <v>11</v>
      </c>
      <c r="C376" t="n">
        <v>0.73952088</v>
      </c>
      <c r="D376" t="n">
        <v>8</v>
      </c>
      <c r="E376">
        <f>"COMBIN("&amp;B376&amp;","&amp;D376&amp;")*"&amp;C376&amp;"^"&amp;D376&amp;"*(1-"&amp;C376&amp;")^("&amp;B376&amp;"-"&amp;D376&amp;")</f>
        <v/>
      </c>
      <c r="F376">
        <f>COMBIN(B376,D376)*C376^D376*(1-C376)^(B376-D376)</f>
        <v/>
      </c>
      <c r="G376">
        <f>G375+F376</f>
        <v/>
      </c>
    </row>
    <row r="377">
      <c r="A377" t="inlineStr">
        <is>
          <t>buy100_medium_11</t>
        </is>
      </c>
      <c r="B377" t="n">
        <v>11</v>
      </c>
      <c r="C377" t="n">
        <v>0.73952088</v>
      </c>
      <c r="D377" t="n">
        <v>9</v>
      </c>
      <c r="E377">
        <f>"COMBIN("&amp;B377&amp;","&amp;D377&amp;")*"&amp;C377&amp;"^"&amp;D377&amp;"*(1-"&amp;C377&amp;")^("&amp;B377&amp;"-"&amp;D377&amp;")</f>
        <v/>
      </c>
      <c r="F377">
        <f>COMBIN(B377,D377)*C377^D377*(1-C377)^(B377-D377)</f>
        <v/>
      </c>
      <c r="G377">
        <f>G376+F377</f>
        <v/>
      </c>
    </row>
    <row r="378">
      <c r="A378" t="inlineStr">
        <is>
          <t>buy100_medium_11</t>
        </is>
      </c>
      <c r="B378" t="n">
        <v>11</v>
      </c>
      <c r="C378" t="n">
        <v>0.73952088</v>
      </c>
      <c r="D378" t="n">
        <v>10</v>
      </c>
      <c r="E378">
        <f>"COMBIN("&amp;B378&amp;","&amp;D378&amp;")*"&amp;C378&amp;"^"&amp;D378&amp;"*(1-"&amp;C378&amp;")^("&amp;B378&amp;"-"&amp;D378&amp;")</f>
        <v/>
      </c>
      <c r="F378">
        <f>COMBIN(B378,D378)*C378^D378*(1-C378)^(B378-D378)</f>
        <v/>
      </c>
      <c r="G378">
        <f>G377+F378</f>
        <v/>
      </c>
    </row>
    <row r="379">
      <c r="A379" t="inlineStr">
        <is>
          <t>buy100_medium_11</t>
        </is>
      </c>
      <c r="B379" t="n">
        <v>11</v>
      </c>
      <c r="C379" t="n">
        <v>0.73952088</v>
      </c>
      <c r="D379" t="n">
        <v>11</v>
      </c>
      <c r="E379">
        <f>"COMBIN("&amp;B379&amp;","&amp;D379&amp;")*"&amp;C379&amp;"^"&amp;D379&amp;"*(1-"&amp;C379&amp;")^("&amp;B379&amp;"-"&amp;D379&amp;")</f>
        <v/>
      </c>
      <c r="F379">
        <f>COMBIN(B379,D379)*C379^D379*(1-C379)^(B379-D379)</f>
        <v/>
      </c>
      <c r="G379">
        <f>G378+F379</f>
        <v/>
      </c>
    </row>
    <row r="380">
      <c r="A380" t="inlineStr">
        <is>
          <t>buy100_medium_12</t>
        </is>
      </c>
      <c r="B380" t="n">
        <v>12</v>
      </c>
      <c r="C380" t="n">
        <v>0.7384317</v>
      </c>
      <c r="D380" t="n">
        <v>0</v>
      </c>
      <c r="E380">
        <f>"COMBIN("&amp;B380&amp;","&amp;D380&amp;")*"&amp;C380&amp;"^"&amp;D380&amp;"*(1-"&amp;C380&amp;")^("&amp;B380&amp;"-"&amp;D380&amp;")</f>
        <v/>
      </c>
      <c r="F380">
        <f>COMBIN(B380,D380)*C380^D380*(1-C380)^(B380-D380)</f>
        <v/>
      </c>
      <c r="G380">
        <f>F380</f>
        <v/>
      </c>
      <c r="H380">
        <f>SUM(F380:F392)</f>
        <v/>
      </c>
    </row>
    <row r="381">
      <c r="A381" t="inlineStr">
        <is>
          <t>buy100_medium_12</t>
        </is>
      </c>
      <c r="B381" t="n">
        <v>12</v>
      </c>
      <c r="C381" t="n">
        <v>0.7384317</v>
      </c>
      <c r="D381" t="n">
        <v>1</v>
      </c>
      <c r="E381">
        <f>"COMBIN("&amp;B381&amp;","&amp;D381&amp;")*"&amp;C381&amp;"^"&amp;D381&amp;"*(1-"&amp;C381&amp;")^("&amp;B381&amp;"-"&amp;D381&amp;")</f>
        <v/>
      </c>
      <c r="F381">
        <f>COMBIN(B381,D381)*C381^D381*(1-C381)^(B381-D381)</f>
        <v/>
      </c>
      <c r="G381">
        <f>G380+F381</f>
        <v/>
      </c>
    </row>
    <row r="382">
      <c r="A382" t="inlineStr">
        <is>
          <t>buy100_medium_12</t>
        </is>
      </c>
      <c r="B382" t="n">
        <v>12</v>
      </c>
      <c r="C382" t="n">
        <v>0.7384317</v>
      </c>
      <c r="D382" t="n">
        <v>2</v>
      </c>
      <c r="E382">
        <f>"COMBIN("&amp;B382&amp;","&amp;D382&amp;")*"&amp;C382&amp;"^"&amp;D382&amp;"*(1-"&amp;C382&amp;")^("&amp;B382&amp;"-"&amp;D382&amp;")</f>
        <v/>
      </c>
      <c r="F382">
        <f>COMBIN(B382,D382)*C382^D382*(1-C382)^(B382-D382)</f>
        <v/>
      </c>
      <c r="G382">
        <f>G381+F382</f>
        <v/>
      </c>
    </row>
    <row r="383">
      <c r="A383" t="inlineStr">
        <is>
          <t>buy100_medium_12</t>
        </is>
      </c>
      <c r="B383" t="n">
        <v>12</v>
      </c>
      <c r="C383" t="n">
        <v>0.7384317</v>
      </c>
      <c r="D383" t="n">
        <v>3</v>
      </c>
      <c r="E383">
        <f>"COMBIN("&amp;B383&amp;","&amp;D383&amp;")*"&amp;C383&amp;"^"&amp;D383&amp;"*(1-"&amp;C383&amp;")^("&amp;B383&amp;"-"&amp;D383&amp;")</f>
        <v/>
      </c>
      <c r="F383">
        <f>COMBIN(B383,D383)*C383^D383*(1-C383)^(B383-D383)</f>
        <v/>
      </c>
      <c r="G383">
        <f>G382+F383</f>
        <v/>
      </c>
    </row>
    <row r="384">
      <c r="A384" t="inlineStr">
        <is>
          <t>buy100_medium_12</t>
        </is>
      </c>
      <c r="B384" t="n">
        <v>12</v>
      </c>
      <c r="C384" t="n">
        <v>0.7384317</v>
      </c>
      <c r="D384" t="n">
        <v>4</v>
      </c>
      <c r="E384">
        <f>"COMBIN("&amp;B384&amp;","&amp;D384&amp;")*"&amp;C384&amp;"^"&amp;D384&amp;"*(1-"&amp;C384&amp;")^("&amp;B384&amp;"-"&amp;D384&amp;")</f>
        <v/>
      </c>
      <c r="F384">
        <f>COMBIN(B384,D384)*C384^D384*(1-C384)^(B384-D384)</f>
        <v/>
      </c>
      <c r="G384">
        <f>G383+F384</f>
        <v/>
      </c>
    </row>
    <row r="385">
      <c r="A385" t="inlineStr">
        <is>
          <t>buy100_medium_12</t>
        </is>
      </c>
      <c r="B385" t="n">
        <v>12</v>
      </c>
      <c r="C385" t="n">
        <v>0.7384317</v>
      </c>
      <c r="D385" t="n">
        <v>5</v>
      </c>
      <c r="E385">
        <f>"COMBIN("&amp;B385&amp;","&amp;D385&amp;")*"&amp;C385&amp;"^"&amp;D385&amp;"*(1-"&amp;C385&amp;")^("&amp;B385&amp;"-"&amp;D385&amp;")</f>
        <v/>
      </c>
      <c r="F385">
        <f>COMBIN(B385,D385)*C385^D385*(1-C385)^(B385-D385)</f>
        <v/>
      </c>
      <c r="G385">
        <f>G384+F385</f>
        <v/>
      </c>
    </row>
    <row r="386">
      <c r="A386" t="inlineStr">
        <is>
          <t>buy100_medium_12</t>
        </is>
      </c>
      <c r="B386" t="n">
        <v>12</v>
      </c>
      <c r="C386" t="n">
        <v>0.7384317</v>
      </c>
      <c r="D386" t="n">
        <v>6</v>
      </c>
      <c r="E386">
        <f>"COMBIN("&amp;B386&amp;","&amp;D386&amp;")*"&amp;C386&amp;"^"&amp;D386&amp;"*(1-"&amp;C386&amp;")^("&amp;B386&amp;"-"&amp;D386&amp;")</f>
        <v/>
      </c>
      <c r="F386">
        <f>COMBIN(B386,D386)*C386^D386*(1-C386)^(B386-D386)</f>
        <v/>
      </c>
      <c r="G386">
        <f>G385+F386</f>
        <v/>
      </c>
    </row>
    <row r="387">
      <c r="A387" t="inlineStr">
        <is>
          <t>buy100_medium_12</t>
        </is>
      </c>
      <c r="B387" t="n">
        <v>12</v>
      </c>
      <c r="C387" t="n">
        <v>0.7384317</v>
      </c>
      <c r="D387" t="n">
        <v>7</v>
      </c>
      <c r="E387">
        <f>"COMBIN("&amp;B387&amp;","&amp;D387&amp;")*"&amp;C387&amp;"^"&amp;D387&amp;"*(1-"&amp;C387&amp;")^("&amp;B387&amp;"-"&amp;D387&amp;")</f>
        <v/>
      </c>
      <c r="F387">
        <f>COMBIN(B387,D387)*C387^D387*(1-C387)^(B387-D387)</f>
        <v/>
      </c>
      <c r="G387">
        <f>G386+F387</f>
        <v/>
      </c>
    </row>
    <row r="388">
      <c r="A388" t="inlineStr">
        <is>
          <t>buy100_medium_12</t>
        </is>
      </c>
      <c r="B388" t="n">
        <v>12</v>
      </c>
      <c r="C388" t="n">
        <v>0.7384317</v>
      </c>
      <c r="D388" t="n">
        <v>8</v>
      </c>
      <c r="E388">
        <f>"COMBIN("&amp;B388&amp;","&amp;D388&amp;")*"&amp;C388&amp;"^"&amp;D388&amp;"*(1-"&amp;C388&amp;")^("&amp;B388&amp;"-"&amp;D388&amp;")</f>
        <v/>
      </c>
      <c r="F388">
        <f>COMBIN(B388,D388)*C388^D388*(1-C388)^(B388-D388)</f>
        <v/>
      </c>
      <c r="G388">
        <f>G387+F388</f>
        <v/>
      </c>
    </row>
    <row r="389">
      <c r="A389" t="inlineStr">
        <is>
          <t>buy100_medium_12</t>
        </is>
      </c>
      <c r="B389" t="n">
        <v>12</v>
      </c>
      <c r="C389" t="n">
        <v>0.7384317</v>
      </c>
      <c r="D389" t="n">
        <v>9</v>
      </c>
      <c r="E389">
        <f>"COMBIN("&amp;B389&amp;","&amp;D389&amp;")*"&amp;C389&amp;"^"&amp;D389&amp;"*(1-"&amp;C389&amp;")^("&amp;B389&amp;"-"&amp;D389&amp;")</f>
        <v/>
      </c>
      <c r="F389">
        <f>COMBIN(B389,D389)*C389^D389*(1-C389)^(B389-D389)</f>
        <v/>
      </c>
      <c r="G389">
        <f>G388+F389</f>
        <v/>
      </c>
    </row>
    <row r="390">
      <c r="A390" t="inlineStr">
        <is>
          <t>buy100_medium_12</t>
        </is>
      </c>
      <c r="B390" t="n">
        <v>12</v>
      </c>
      <c r="C390" t="n">
        <v>0.7384317</v>
      </c>
      <c r="D390" t="n">
        <v>10</v>
      </c>
      <c r="E390">
        <f>"COMBIN("&amp;B390&amp;","&amp;D390&amp;")*"&amp;C390&amp;"^"&amp;D390&amp;"*(1-"&amp;C390&amp;")^("&amp;B390&amp;"-"&amp;D390&amp;")</f>
        <v/>
      </c>
      <c r="F390">
        <f>COMBIN(B390,D390)*C390^D390*(1-C390)^(B390-D390)</f>
        <v/>
      </c>
      <c r="G390">
        <f>G389+F390</f>
        <v/>
      </c>
    </row>
    <row r="391">
      <c r="A391" t="inlineStr">
        <is>
          <t>buy100_medium_12</t>
        </is>
      </c>
      <c r="B391" t="n">
        <v>12</v>
      </c>
      <c r="C391" t="n">
        <v>0.7384317</v>
      </c>
      <c r="D391" t="n">
        <v>11</v>
      </c>
      <c r="E391">
        <f>"COMBIN("&amp;B391&amp;","&amp;D391&amp;")*"&amp;C391&amp;"^"&amp;D391&amp;"*(1-"&amp;C391&amp;")^("&amp;B391&amp;"-"&amp;D391&amp;")</f>
        <v/>
      </c>
      <c r="F391">
        <f>COMBIN(B391,D391)*C391^D391*(1-C391)^(B391-D391)</f>
        <v/>
      </c>
      <c r="G391">
        <f>G390+F391</f>
        <v/>
      </c>
    </row>
    <row r="392">
      <c r="A392" t="inlineStr">
        <is>
          <t>buy100_medium_12</t>
        </is>
      </c>
      <c r="B392" t="n">
        <v>12</v>
      </c>
      <c r="C392" t="n">
        <v>0.7384317</v>
      </c>
      <c r="D392" t="n">
        <v>12</v>
      </c>
      <c r="E392">
        <f>"COMBIN("&amp;B392&amp;","&amp;D392&amp;")*"&amp;C392&amp;"^"&amp;D392&amp;"*(1-"&amp;C392&amp;")^("&amp;B392&amp;"-"&amp;D392&amp;")</f>
        <v/>
      </c>
      <c r="F392">
        <f>COMBIN(B392,D392)*C392^D392*(1-C392)^(B392-D392)</f>
        <v/>
      </c>
      <c r="G392">
        <f>G391+F392</f>
        <v/>
      </c>
    </row>
    <row r="393">
      <c r="A393" t="inlineStr">
        <is>
          <t>buy100_medium_13</t>
        </is>
      </c>
      <c r="B393" t="n">
        <v>13</v>
      </c>
      <c r="C393" t="n">
        <v>0.73987876</v>
      </c>
      <c r="D393" t="n">
        <v>0</v>
      </c>
      <c r="E393">
        <f>"COMBIN("&amp;B393&amp;","&amp;D393&amp;")*"&amp;C393&amp;"^"&amp;D393&amp;"*(1-"&amp;C393&amp;")^("&amp;B393&amp;"-"&amp;D393&amp;")</f>
        <v/>
      </c>
      <c r="F393">
        <f>COMBIN(B393,D393)*C393^D393*(1-C393)^(B393-D393)</f>
        <v/>
      </c>
      <c r="G393">
        <f>F393</f>
        <v/>
      </c>
      <c r="H393">
        <f>SUM(F393:F406)</f>
        <v/>
      </c>
    </row>
    <row r="394">
      <c r="A394" t="inlineStr">
        <is>
          <t>buy100_medium_13</t>
        </is>
      </c>
      <c r="B394" t="n">
        <v>13</v>
      </c>
      <c r="C394" t="n">
        <v>0.73987876</v>
      </c>
      <c r="D394" t="n">
        <v>1</v>
      </c>
      <c r="E394">
        <f>"COMBIN("&amp;B394&amp;","&amp;D394&amp;")*"&amp;C394&amp;"^"&amp;D394&amp;"*(1-"&amp;C394&amp;")^("&amp;B394&amp;"-"&amp;D394&amp;")</f>
        <v/>
      </c>
      <c r="F394">
        <f>COMBIN(B394,D394)*C394^D394*(1-C394)^(B394-D394)</f>
        <v/>
      </c>
      <c r="G394">
        <f>G393+F394</f>
        <v/>
      </c>
    </row>
    <row r="395">
      <c r="A395" t="inlineStr">
        <is>
          <t>buy100_medium_13</t>
        </is>
      </c>
      <c r="B395" t="n">
        <v>13</v>
      </c>
      <c r="C395" t="n">
        <v>0.73987876</v>
      </c>
      <c r="D395" t="n">
        <v>2</v>
      </c>
      <c r="E395">
        <f>"COMBIN("&amp;B395&amp;","&amp;D395&amp;")*"&amp;C395&amp;"^"&amp;D395&amp;"*(1-"&amp;C395&amp;")^("&amp;B395&amp;"-"&amp;D395&amp;")</f>
        <v/>
      </c>
      <c r="F395">
        <f>COMBIN(B395,D395)*C395^D395*(1-C395)^(B395-D395)</f>
        <v/>
      </c>
      <c r="G395">
        <f>G394+F395</f>
        <v/>
      </c>
    </row>
    <row r="396">
      <c r="A396" t="inlineStr">
        <is>
          <t>buy100_medium_13</t>
        </is>
      </c>
      <c r="B396" t="n">
        <v>13</v>
      </c>
      <c r="C396" t="n">
        <v>0.73987876</v>
      </c>
      <c r="D396" t="n">
        <v>3</v>
      </c>
      <c r="E396">
        <f>"COMBIN("&amp;B396&amp;","&amp;D396&amp;")*"&amp;C396&amp;"^"&amp;D396&amp;"*(1-"&amp;C396&amp;")^("&amp;B396&amp;"-"&amp;D396&amp;")</f>
        <v/>
      </c>
      <c r="F396">
        <f>COMBIN(B396,D396)*C396^D396*(1-C396)^(B396-D396)</f>
        <v/>
      </c>
      <c r="G396">
        <f>G395+F396</f>
        <v/>
      </c>
    </row>
    <row r="397">
      <c r="A397" t="inlineStr">
        <is>
          <t>buy100_medium_13</t>
        </is>
      </c>
      <c r="B397" t="n">
        <v>13</v>
      </c>
      <c r="C397" t="n">
        <v>0.73987876</v>
      </c>
      <c r="D397" t="n">
        <v>4</v>
      </c>
      <c r="E397">
        <f>"COMBIN("&amp;B397&amp;","&amp;D397&amp;")*"&amp;C397&amp;"^"&amp;D397&amp;"*(1-"&amp;C397&amp;")^("&amp;B397&amp;"-"&amp;D397&amp;")</f>
        <v/>
      </c>
      <c r="F397">
        <f>COMBIN(B397,D397)*C397^D397*(1-C397)^(B397-D397)</f>
        <v/>
      </c>
      <c r="G397">
        <f>G396+F397</f>
        <v/>
      </c>
    </row>
    <row r="398">
      <c r="A398" t="inlineStr">
        <is>
          <t>buy100_medium_13</t>
        </is>
      </c>
      <c r="B398" t="n">
        <v>13</v>
      </c>
      <c r="C398" t="n">
        <v>0.73987876</v>
      </c>
      <c r="D398" t="n">
        <v>5</v>
      </c>
      <c r="E398">
        <f>"COMBIN("&amp;B398&amp;","&amp;D398&amp;")*"&amp;C398&amp;"^"&amp;D398&amp;"*(1-"&amp;C398&amp;")^("&amp;B398&amp;"-"&amp;D398&amp;")</f>
        <v/>
      </c>
      <c r="F398">
        <f>COMBIN(B398,D398)*C398^D398*(1-C398)^(B398-D398)</f>
        <v/>
      </c>
      <c r="G398">
        <f>G397+F398</f>
        <v/>
      </c>
    </row>
    <row r="399">
      <c r="A399" t="inlineStr">
        <is>
          <t>buy100_medium_13</t>
        </is>
      </c>
      <c r="B399" t="n">
        <v>13</v>
      </c>
      <c r="C399" t="n">
        <v>0.73987876</v>
      </c>
      <c r="D399" t="n">
        <v>6</v>
      </c>
      <c r="E399">
        <f>"COMBIN("&amp;B399&amp;","&amp;D399&amp;")*"&amp;C399&amp;"^"&amp;D399&amp;"*(1-"&amp;C399&amp;")^("&amp;B399&amp;"-"&amp;D399&amp;")</f>
        <v/>
      </c>
      <c r="F399">
        <f>COMBIN(B399,D399)*C399^D399*(1-C399)^(B399-D399)</f>
        <v/>
      </c>
      <c r="G399">
        <f>G398+F399</f>
        <v/>
      </c>
    </row>
    <row r="400">
      <c r="A400" t="inlineStr">
        <is>
          <t>buy100_medium_13</t>
        </is>
      </c>
      <c r="B400" t="n">
        <v>13</v>
      </c>
      <c r="C400" t="n">
        <v>0.73987876</v>
      </c>
      <c r="D400" t="n">
        <v>7</v>
      </c>
      <c r="E400">
        <f>"COMBIN("&amp;B400&amp;","&amp;D400&amp;")*"&amp;C400&amp;"^"&amp;D400&amp;"*(1-"&amp;C400&amp;")^("&amp;B400&amp;"-"&amp;D400&amp;")</f>
        <v/>
      </c>
      <c r="F400">
        <f>COMBIN(B400,D400)*C400^D400*(1-C400)^(B400-D400)</f>
        <v/>
      </c>
      <c r="G400">
        <f>G399+F400</f>
        <v/>
      </c>
    </row>
    <row r="401">
      <c r="A401" t="inlineStr">
        <is>
          <t>buy100_medium_13</t>
        </is>
      </c>
      <c r="B401" t="n">
        <v>13</v>
      </c>
      <c r="C401" t="n">
        <v>0.73987876</v>
      </c>
      <c r="D401" t="n">
        <v>8</v>
      </c>
      <c r="E401">
        <f>"COMBIN("&amp;B401&amp;","&amp;D401&amp;")*"&amp;C401&amp;"^"&amp;D401&amp;"*(1-"&amp;C401&amp;")^("&amp;B401&amp;"-"&amp;D401&amp;")</f>
        <v/>
      </c>
      <c r="F401">
        <f>COMBIN(B401,D401)*C401^D401*(1-C401)^(B401-D401)</f>
        <v/>
      </c>
      <c r="G401">
        <f>G400+F401</f>
        <v/>
      </c>
    </row>
    <row r="402">
      <c r="A402" t="inlineStr">
        <is>
          <t>buy100_medium_13</t>
        </is>
      </c>
      <c r="B402" t="n">
        <v>13</v>
      </c>
      <c r="C402" t="n">
        <v>0.73987876</v>
      </c>
      <c r="D402" t="n">
        <v>9</v>
      </c>
      <c r="E402">
        <f>"COMBIN("&amp;B402&amp;","&amp;D402&amp;")*"&amp;C402&amp;"^"&amp;D402&amp;"*(1-"&amp;C402&amp;")^("&amp;B402&amp;"-"&amp;D402&amp;")</f>
        <v/>
      </c>
      <c r="F402">
        <f>COMBIN(B402,D402)*C402^D402*(1-C402)^(B402-D402)</f>
        <v/>
      </c>
      <c r="G402">
        <f>G401+F402</f>
        <v/>
      </c>
    </row>
    <row r="403">
      <c r="A403" t="inlineStr">
        <is>
          <t>buy100_medium_13</t>
        </is>
      </c>
      <c r="B403" t="n">
        <v>13</v>
      </c>
      <c r="C403" t="n">
        <v>0.73987876</v>
      </c>
      <c r="D403" t="n">
        <v>10</v>
      </c>
      <c r="E403">
        <f>"COMBIN("&amp;B403&amp;","&amp;D403&amp;")*"&amp;C403&amp;"^"&amp;D403&amp;"*(1-"&amp;C403&amp;")^("&amp;B403&amp;"-"&amp;D403&amp;")</f>
        <v/>
      </c>
      <c r="F403">
        <f>COMBIN(B403,D403)*C403^D403*(1-C403)^(B403-D403)</f>
        <v/>
      </c>
      <c r="G403">
        <f>G402+F403</f>
        <v/>
      </c>
    </row>
    <row r="404">
      <c r="A404" t="inlineStr">
        <is>
          <t>buy100_medium_13</t>
        </is>
      </c>
      <c r="B404" t="n">
        <v>13</v>
      </c>
      <c r="C404" t="n">
        <v>0.73987876</v>
      </c>
      <c r="D404" t="n">
        <v>11</v>
      </c>
      <c r="E404">
        <f>"COMBIN("&amp;B404&amp;","&amp;D404&amp;")*"&amp;C404&amp;"^"&amp;D404&amp;"*(1-"&amp;C404&amp;")^("&amp;B404&amp;"-"&amp;D404&amp;")</f>
        <v/>
      </c>
      <c r="F404">
        <f>COMBIN(B404,D404)*C404^D404*(1-C404)^(B404-D404)</f>
        <v/>
      </c>
      <c r="G404">
        <f>G403+F404</f>
        <v/>
      </c>
    </row>
    <row r="405">
      <c r="A405" t="inlineStr">
        <is>
          <t>buy100_medium_13</t>
        </is>
      </c>
      <c r="B405" t="n">
        <v>13</v>
      </c>
      <c r="C405" t="n">
        <v>0.73987876</v>
      </c>
      <c r="D405" t="n">
        <v>12</v>
      </c>
      <c r="E405">
        <f>"COMBIN("&amp;B405&amp;","&amp;D405&amp;")*"&amp;C405&amp;"^"&amp;D405&amp;"*(1-"&amp;C405&amp;")^("&amp;B405&amp;"-"&amp;D405&amp;")</f>
        <v/>
      </c>
      <c r="F405">
        <f>COMBIN(B405,D405)*C405^D405*(1-C405)^(B405-D405)</f>
        <v/>
      </c>
      <c r="G405">
        <f>G404+F405</f>
        <v/>
      </c>
    </row>
    <row r="406">
      <c r="A406" t="inlineStr">
        <is>
          <t>buy100_medium_13</t>
        </is>
      </c>
      <c r="B406" t="n">
        <v>13</v>
      </c>
      <c r="C406" t="n">
        <v>0.73987876</v>
      </c>
      <c r="D406" t="n">
        <v>13</v>
      </c>
      <c r="E406">
        <f>"COMBIN("&amp;B406&amp;","&amp;D406&amp;")*"&amp;C406&amp;"^"&amp;D406&amp;"*(1-"&amp;C406&amp;")^("&amp;B406&amp;"-"&amp;D406&amp;")</f>
        <v/>
      </c>
      <c r="F406">
        <f>COMBIN(B406,D406)*C406^D406*(1-C406)^(B406-D406)</f>
        <v/>
      </c>
      <c r="G406">
        <f>G405+F406</f>
        <v/>
      </c>
    </row>
    <row r="407">
      <c r="A407" t="inlineStr">
        <is>
          <t>buy100_medium_14</t>
        </is>
      </c>
      <c r="B407" t="n">
        <v>14</v>
      </c>
      <c r="C407" t="n">
        <v>0.71916921</v>
      </c>
      <c r="D407" t="n">
        <v>0</v>
      </c>
      <c r="E407">
        <f>"COMBIN("&amp;B407&amp;","&amp;D407&amp;")*"&amp;C407&amp;"^"&amp;D407&amp;"*(1-"&amp;C407&amp;")^("&amp;B407&amp;"-"&amp;D407&amp;")</f>
        <v/>
      </c>
      <c r="F407">
        <f>COMBIN(B407,D407)*C407^D407*(1-C407)^(B407-D407)</f>
        <v/>
      </c>
      <c r="G407">
        <f>F407</f>
        <v/>
      </c>
      <c r="H407">
        <f>SUM(F407:F421)</f>
        <v/>
      </c>
    </row>
    <row r="408">
      <c r="A408" t="inlineStr">
        <is>
          <t>buy100_medium_14</t>
        </is>
      </c>
      <c r="B408" t="n">
        <v>14</v>
      </c>
      <c r="C408" t="n">
        <v>0.71916921</v>
      </c>
      <c r="D408" t="n">
        <v>1</v>
      </c>
      <c r="E408">
        <f>"COMBIN("&amp;B408&amp;","&amp;D408&amp;")*"&amp;C408&amp;"^"&amp;D408&amp;"*(1-"&amp;C408&amp;")^("&amp;B408&amp;"-"&amp;D408&amp;")</f>
        <v/>
      </c>
      <c r="F408">
        <f>COMBIN(B408,D408)*C408^D408*(1-C408)^(B408-D408)</f>
        <v/>
      </c>
      <c r="G408">
        <f>G407+F408</f>
        <v/>
      </c>
    </row>
    <row r="409">
      <c r="A409" t="inlineStr">
        <is>
          <t>buy100_medium_14</t>
        </is>
      </c>
      <c r="B409" t="n">
        <v>14</v>
      </c>
      <c r="C409" t="n">
        <v>0.71916921</v>
      </c>
      <c r="D409" t="n">
        <v>2</v>
      </c>
      <c r="E409">
        <f>"COMBIN("&amp;B409&amp;","&amp;D409&amp;")*"&amp;C409&amp;"^"&amp;D409&amp;"*(1-"&amp;C409&amp;")^("&amp;B409&amp;"-"&amp;D409&amp;")</f>
        <v/>
      </c>
      <c r="F409">
        <f>COMBIN(B409,D409)*C409^D409*(1-C409)^(B409-D409)</f>
        <v/>
      </c>
      <c r="G409">
        <f>G408+F409</f>
        <v/>
      </c>
    </row>
    <row r="410">
      <c r="A410" t="inlineStr">
        <is>
          <t>buy100_medium_14</t>
        </is>
      </c>
      <c r="B410" t="n">
        <v>14</v>
      </c>
      <c r="C410" t="n">
        <v>0.71916921</v>
      </c>
      <c r="D410" t="n">
        <v>3</v>
      </c>
      <c r="E410">
        <f>"COMBIN("&amp;B410&amp;","&amp;D410&amp;")*"&amp;C410&amp;"^"&amp;D410&amp;"*(1-"&amp;C410&amp;")^("&amp;B410&amp;"-"&amp;D410&amp;")</f>
        <v/>
      </c>
      <c r="F410">
        <f>COMBIN(B410,D410)*C410^D410*(1-C410)^(B410-D410)</f>
        <v/>
      </c>
      <c r="G410">
        <f>G409+F410</f>
        <v/>
      </c>
    </row>
    <row r="411">
      <c r="A411" t="inlineStr">
        <is>
          <t>buy100_medium_14</t>
        </is>
      </c>
      <c r="B411" t="n">
        <v>14</v>
      </c>
      <c r="C411" t="n">
        <v>0.71916921</v>
      </c>
      <c r="D411" t="n">
        <v>4</v>
      </c>
      <c r="E411">
        <f>"COMBIN("&amp;B411&amp;","&amp;D411&amp;")*"&amp;C411&amp;"^"&amp;D411&amp;"*(1-"&amp;C411&amp;")^("&amp;B411&amp;"-"&amp;D411&amp;")</f>
        <v/>
      </c>
      <c r="F411">
        <f>COMBIN(B411,D411)*C411^D411*(1-C411)^(B411-D411)</f>
        <v/>
      </c>
      <c r="G411">
        <f>G410+F411</f>
        <v/>
      </c>
    </row>
    <row r="412">
      <c r="A412" t="inlineStr">
        <is>
          <t>buy100_medium_14</t>
        </is>
      </c>
      <c r="B412" t="n">
        <v>14</v>
      </c>
      <c r="C412" t="n">
        <v>0.71916921</v>
      </c>
      <c r="D412" t="n">
        <v>5</v>
      </c>
      <c r="E412">
        <f>"COMBIN("&amp;B412&amp;","&amp;D412&amp;")*"&amp;C412&amp;"^"&amp;D412&amp;"*(1-"&amp;C412&amp;")^("&amp;B412&amp;"-"&amp;D412&amp;")</f>
        <v/>
      </c>
      <c r="F412">
        <f>COMBIN(B412,D412)*C412^D412*(1-C412)^(B412-D412)</f>
        <v/>
      </c>
      <c r="G412">
        <f>G411+F412</f>
        <v/>
      </c>
    </row>
    <row r="413">
      <c r="A413" t="inlineStr">
        <is>
          <t>buy100_medium_14</t>
        </is>
      </c>
      <c r="B413" t="n">
        <v>14</v>
      </c>
      <c r="C413" t="n">
        <v>0.71916921</v>
      </c>
      <c r="D413" t="n">
        <v>6</v>
      </c>
      <c r="E413">
        <f>"COMBIN("&amp;B413&amp;","&amp;D413&amp;")*"&amp;C413&amp;"^"&amp;D413&amp;"*(1-"&amp;C413&amp;")^("&amp;B413&amp;"-"&amp;D413&amp;")</f>
        <v/>
      </c>
      <c r="F413">
        <f>COMBIN(B413,D413)*C413^D413*(1-C413)^(B413-D413)</f>
        <v/>
      </c>
      <c r="G413">
        <f>G412+F413</f>
        <v/>
      </c>
    </row>
    <row r="414">
      <c r="A414" t="inlineStr">
        <is>
          <t>buy100_medium_14</t>
        </is>
      </c>
      <c r="B414" t="n">
        <v>14</v>
      </c>
      <c r="C414" t="n">
        <v>0.71916921</v>
      </c>
      <c r="D414" t="n">
        <v>7</v>
      </c>
      <c r="E414">
        <f>"COMBIN("&amp;B414&amp;","&amp;D414&amp;")*"&amp;C414&amp;"^"&amp;D414&amp;"*(1-"&amp;C414&amp;")^("&amp;B414&amp;"-"&amp;D414&amp;")</f>
        <v/>
      </c>
      <c r="F414">
        <f>COMBIN(B414,D414)*C414^D414*(1-C414)^(B414-D414)</f>
        <v/>
      </c>
      <c r="G414">
        <f>G413+F414</f>
        <v/>
      </c>
    </row>
    <row r="415">
      <c r="A415" t="inlineStr">
        <is>
          <t>buy100_medium_14</t>
        </is>
      </c>
      <c r="B415" t="n">
        <v>14</v>
      </c>
      <c r="C415" t="n">
        <v>0.71916921</v>
      </c>
      <c r="D415" t="n">
        <v>8</v>
      </c>
      <c r="E415">
        <f>"COMBIN("&amp;B415&amp;","&amp;D415&amp;")*"&amp;C415&amp;"^"&amp;D415&amp;"*(1-"&amp;C415&amp;")^("&amp;B415&amp;"-"&amp;D415&amp;")</f>
        <v/>
      </c>
      <c r="F415">
        <f>COMBIN(B415,D415)*C415^D415*(1-C415)^(B415-D415)</f>
        <v/>
      </c>
      <c r="G415">
        <f>G414+F415</f>
        <v/>
      </c>
    </row>
    <row r="416">
      <c r="A416" t="inlineStr">
        <is>
          <t>buy100_medium_14</t>
        </is>
      </c>
      <c r="B416" t="n">
        <v>14</v>
      </c>
      <c r="C416" t="n">
        <v>0.71916921</v>
      </c>
      <c r="D416" t="n">
        <v>9</v>
      </c>
      <c r="E416">
        <f>"COMBIN("&amp;B416&amp;","&amp;D416&amp;")*"&amp;C416&amp;"^"&amp;D416&amp;"*(1-"&amp;C416&amp;")^("&amp;B416&amp;"-"&amp;D416&amp;")</f>
        <v/>
      </c>
      <c r="F416">
        <f>COMBIN(B416,D416)*C416^D416*(1-C416)^(B416-D416)</f>
        <v/>
      </c>
      <c r="G416">
        <f>G415+F416</f>
        <v/>
      </c>
    </row>
    <row r="417">
      <c r="A417" t="inlineStr">
        <is>
          <t>buy100_medium_14</t>
        </is>
      </c>
      <c r="B417" t="n">
        <v>14</v>
      </c>
      <c r="C417" t="n">
        <v>0.71916921</v>
      </c>
      <c r="D417" t="n">
        <v>10</v>
      </c>
      <c r="E417">
        <f>"COMBIN("&amp;B417&amp;","&amp;D417&amp;")*"&amp;C417&amp;"^"&amp;D417&amp;"*(1-"&amp;C417&amp;")^("&amp;B417&amp;"-"&amp;D417&amp;")</f>
        <v/>
      </c>
      <c r="F417">
        <f>COMBIN(B417,D417)*C417^D417*(1-C417)^(B417-D417)</f>
        <v/>
      </c>
      <c r="G417">
        <f>G416+F417</f>
        <v/>
      </c>
    </row>
    <row r="418">
      <c r="A418" t="inlineStr">
        <is>
          <t>buy100_medium_14</t>
        </is>
      </c>
      <c r="B418" t="n">
        <v>14</v>
      </c>
      <c r="C418" t="n">
        <v>0.71916921</v>
      </c>
      <c r="D418" t="n">
        <v>11</v>
      </c>
      <c r="E418">
        <f>"COMBIN("&amp;B418&amp;","&amp;D418&amp;")*"&amp;C418&amp;"^"&amp;D418&amp;"*(1-"&amp;C418&amp;")^("&amp;B418&amp;"-"&amp;D418&amp;")</f>
        <v/>
      </c>
      <c r="F418">
        <f>COMBIN(B418,D418)*C418^D418*(1-C418)^(B418-D418)</f>
        <v/>
      </c>
      <c r="G418">
        <f>G417+F418</f>
        <v/>
      </c>
    </row>
    <row r="419">
      <c r="A419" t="inlineStr">
        <is>
          <t>buy100_medium_14</t>
        </is>
      </c>
      <c r="B419" t="n">
        <v>14</v>
      </c>
      <c r="C419" t="n">
        <v>0.71916921</v>
      </c>
      <c r="D419" t="n">
        <v>12</v>
      </c>
      <c r="E419">
        <f>"COMBIN("&amp;B419&amp;","&amp;D419&amp;")*"&amp;C419&amp;"^"&amp;D419&amp;"*(1-"&amp;C419&amp;")^("&amp;B419&amp;"-"&amp;D419&amp;")</f>
        <v/>
      </c>
      <c r="F419">
        <f>COMBIN(B419,D419)*C419^D419*(1-C419)^(B419-D419)</f>
        <v/>
      </c>
      <c r="G419">
        <f>G418+F419</f>
        <v/>
      </c>
    </row>
    <row r="420">
      <c r="A420" t="inlineStr">
        <is>
          <t>buy100_medium_14</t>
        </is>
      </c>
      <c r="B420" t="n">
        <v>14</v>
      </c>
      <c r="C420" t="n">
        <v>0.71916921</v>
      </c>
      <c r="D420" t="n">
        <v>13</v>
      </c>
      <c r="E420">
        <f>"COMBIN("&amp;B420&amp;","&amp;D420&amp;")*"&amp;C420&amp;"^"&amp;D420&amp;"*(1-"&amp;C420&amp;")^("&amp;B420&amp;"-"&amp;D420&amp;")</f>
        <v/>
      </c>
      <c r="F420">
        <f>COMBIN(B420,D420)*C420^D420*(1-C420)^(B420-D420)</f>
        <v/>
      </c>
      <c r="G420">
        <f>G419+F420</f>
        <v/>
      </c>
    </row>
    <row r="421">
      <c r="A421" t="inlineStr">
        <is>
          <t>buy100_medium_14</t>
        </is>
      </c>
      <c r="B421" t="n">
        <v>14</v>
      </c>
      <c r="C421" t="n">
        <v>0.71916921</v>
      </c>
      <c r="D421" t="n">
        <v>14</v>
      </c>
      <c r="E421">
        <f>"COMBIN("&amp;B421&amp;","&amp;D421&amp;")*"&amp;C421&amp;"^"&amp;D421&amp;"*(1-"&amp;C421&amp;")^("&amp;B421&amp;"-"&amp;D421&amp;")</f>
        <v/>
      </c>
      <c r="F421">
        <f>COMBIN(B421,D421)*C421^D421*(1-C421)^(B421-D421)</f>
        <v/>
      </c>
      <c r="G421">
        <f>G420+F421</f>
        <v/>
      </c>
    </row>
    <row r="422">
      <c r="A422" t="inlineStr">
        <is>
          <t>buy100_medium_15</t>
        </is>
      </c>
      <c r="B422" t="n">
        <v>15</v>
      </c>
      <c r="C422" t="n">
        <v>0.69302792</v>
      </c>
      <c r="D422" t="n">
        <v>0</v>
      </c>
      <c r="E422">
        <f>"COMBIN("&amp;B422&amp;","&amp;D422&amp;")*"&amp;C422&amp;"^"&amp;D422&amp;"*(1-"&amp;C422&amp;")^("&amp;B422&amp;"-"&amp;D422&amp;")</f>
        <v/>
      </c>
      <c r="F422">
        <f>COMBIN(B422,D422)*C422^D422*(1-C422)^(B422-D422)</f>
        <v/>
      </c>
      <c r="G422">
        <f>F422</f>
        <v/>
      </c>
      <c r="H422">
        <f>SUM(F422:F437)</f>
        <v/>
      </c>
    </row>
    <row r="423">
      <c r="A423" t="inlineStr">
        <is>
          <t>buy100_medium_15</t>
        </is>
      </c>
      <c r="B423" t="n">
        <v>15</v>
      </c>
      <c r="C423" t="n">
        <v>0.69302792</v>
      </c>
      <c r="D423" t="n">
        <v>1</v>
      </c>
      <c r="E423">
        <f>"COMBIN("&amp;B423&amp;","&amp;D423&amp;")*"&amp;C423&amp;"^"&amp;D423&amp;"*(1-"&amp;C423&amp;")^("&amp;B423&amp;"-"&amp;D423&amp;")</f>
        <v/>
      </c>
      <c r="F423">
        <f>COMBIN(B423,D423)*C423^D423*(1-C423)^(B423-D423)</f>
        <v/>
      </c>
      <c r="G423">
        <f>G422+F423</f>
        <v/>
      </c>
    </row>
    <row r="424">
      <c r="A424" t="inlineStr">
        <is>
          <t>buy100_medium_15</t>
        </is>
      </c>
      <c r="B424" t="n">
        <v>15</v>
      </c>
      <c r="C424" t="n">
        <v>0.69302792</v>
      </c>
      <c r="D424" t="n">
        <v>2</v>
      </c>
      <c r="E424">
        <f>"COMBIN("&amp;B424&amp;","&amp;D424&amp;")*"&amp;C424&amp;"^"&amp;D424&amp;"*(1-"&amp;C424&amp;")^("&amp;B424&amp;"-"&amp;D424&amp;")</f>
        <v/>
      </c>
      <c r="F424">
        <f>COMBIN(B424,D424)*C424^D424*(1-C424)^(B424-D424)</f>
        <v/>
      </c>
      <c r="G424">
        <f>G423+F424</f>
        <v/>
      </c>
    </row>
    <row r="425">
      <c r="A425" t="inlineStr">
        <is>
          <t>buy100_medium_15</t>
        </is>
      </c>
      <c r="B425" t="n">
        <v>15</v>
      </c>
      <c r="C425" t="n">
        <v>0.69302792</v>
      </c>
      <c r="D425" t="n">
        <v>3</v>
      </c>
      <c r="E425">
        <f>"COMBIN("&amp;B425&amp;","&amp;D425&amp;")*"&amp;C425&amp;"^"&amp;D425&amp;"*(1-"&amp;C425&amp;")^("&amp;B425&amp;"-"&amp;D425&amp;")</f>
        <v/>
      </c>
      <c r="F425">
        <f>COMBIN(B425,D425)*C425^D425*(1-C425)^(B425-D425)</f>
        <v/>
      </c>
      <c r="G425">
        <f>G424+F425</f>
        <v/>
      </c>
    </row>
    <row r="426">
      <c r="A426" t="inlineStr">
        <is>
          <t>buy100_medium_15</t>
        </is>
      </c>
      <c r="B426" t="n">
        <v>15</v>
      </c>
      <c r="C426" t="n">
        <v>0.69302792</v>
      </c>
      <c r="D426" t="n">
        <v>4</v>
      </c>
      <c r="E426">
        <f>"COMBIN("&amp;B426&amp;","&amp;D426&amp;")*"&amp;C426&amp;"^"&amp;D426&amp;"*(1-"&amp;C426&amp;")^("&amp;B426&amp;"-"&amp;D426&amp;")</f>
        <v/>
      </c>
      <c r="F426">
        <f>COMBIN(B426,D426)*C426^D426*(1-C426)^(B426-D426)</f>
        <v/>
      </c>
      <c r="G426">
        <f>G425+F426</f>
        <v/>
      </c>
    </row>
    <row r="427">
      <c r="A427" t="inlineStr">
        <is>
          <t>buy100_medium_15</t>
        </is>
      </c>
      <c r="B427" t="n">
        <v>15</v>
      </c>
      <c r="C427" t="n">
        <v>0.69302792</v>
      </c>
      <c r="D427" t="n">
        <v>5</v>
      </c>
      <c r="E427">
        <f>"COMBIN("&amp;B427&amp;","&amp;D427&amp;")*"&amp;C427&amp;"^"&amp;D427&amp;"*(1-"&amp;C427&amp;")^("&amp;B427&amp;"-"&amp;D427&amp;")</f>
        <v/>
      </c>
      <c r="F427">
        <f>COMBIN(B427,D427)*C427^D427*(1-C427)^(B427-D427)</f>
        <v/>
      </c>
      <c r="G427">
        <f>G426+F427</f>
        <v/>
      </c>
    </row>
    <row r="428">
      <c r="A428" t="inlineStr">
        <is>
          <t>buy100_medium_15</t>
        </is>
      </c>
      <c r="B428" t="n">
        <v>15</v>
      </c>
      <c r="C428" t="n">
        <v>0.69302792</v>
      </c>
      <c r="D428" t="n">
        <v>6</v>
      </c>
      <c r="E428">
        <f>"COMBIN("&amp;B428&amp;","&amp;D428&amp;")*"&amp;C428&amp;"^"&amp;D428&amp;"*(1-"&amp;C428&amp;")^("&amp;B428&amp;"-"&amp;D428&amp;")</f>
        <v/>
      </c>
      <c r="F428">
        <f>COMBIN(B428,D428)*C428^D428*(1-C428)^(B428-D428)</f>
        <v/>
      </c>
      <c r="G428">
        <f>G427+F428</f>
        <v/>
      </c>
    </row>
    <row r="429">
      <c r="A429" t="inlineStr">
        <is>
          <t>buy100_medium_15</t>
        </is>
      </c>
      <c r="B429" t="n">
        <v>15</v>
      </c>
      <c r="C429" t="n">
        <v>0.69302792</v>
      </c>
      <c r="D429" t="n">
        <v>7</v>
      </c>
      <c r="E429">
        <f>"COMBIN("&amp;B429&amp;","&amp;D429&amp;")*"&amp;C429&amp;"^"&amp;D429&amp;"*(1-"&amp;C429&amp;")^("&amp;B429&amp;"-"&amp;D429&amp;")</f>
        <v/>
      </c>
      <c r="F429">
        <f>COMBIN(B429,D429)*C429^D429*(1-C429)^(B429-D429)</f>
        <v/>
      </c>
      <c r="G429">
        <f>G428+F429</f>
        <v/>
      </c>
    </row>
    <row r="430">
      <c r="A430" t="inlineStr">
        <is>
          <t>buy100_medium_15</t>
        </is>
      </c>
      <c r="B430" t="n">
        <v>15</v>
      </c>
      <c r="C430" t="n">
        <v>0.69302792</v>
      </c>
      <c r="D430" t="n">
        <v>8</v>
      </c>
      <c r="E430">
        <f>"COMBIN("&amp;B430&amp;","&amp;D430&amp;")*"&amp;C430&amp;"^"&amp;D430&amp;"*(1-"&amp;C430&amp;")^("&amp;B430&amp;"-"&amp;D430&amp;")</f>
        <v/>
      </c>
      <c r="F430">
        <f>COMBIN(B430,D430)*C430^D430*(1-C430)^(B430-D430)</f>
        <v/>
      </c>
      <c r="G430">
        <f>G429+F430</f>
        <v/>
      </c>
    </row>
    <row r="431">
      <c r="A431" t="inlineStr">
        <is>
          <t>buy100_medium_15</t>
        </is>
      </c>
      <c r="B431" t="n">
        <v>15</v>
      </c>
      <c r="C431" t="n">
        <v>0.69302792</v>
      </c>
      <c r="D431" t="n">
        <v>9</v>
      </c>
      <c r="E431">
        <f>"COMBIN("&amp;B431&amp;","&amp;D431&amp;")*"&amp;C431&amp;"^"&amp;D431&amp;"*(1-"&amp;C431&amp;")^("&amp;B431&amp;"-"&amp;D431&amp;")</f>
        <v/>
      </c>
      <c r="F431">
        <f>COMBIN(B431,D431)*C431^D431*(1-C431)^(B431-D431)</f>
        <v/>
      </c>
      <c r="G431">
        <f>G430+F431</f>
        <v/>
      </c>
    </row>
    <row r="432">
      <c r="A432" t="inlineStr">
        <is>
          <t>buy100_medium_15</t>
        </is>
      </c>
      <c r="B432" t="n">
        <v>15</v>
      </c>
      <c r="C432" t="n">
        <v>0.69302792</v>
      </c>
      <c r="D432" t="n">
        <v>10</v>
      </c>
      <c r="E432">
        <f>"COMBIN("&amp;B432&amp;","&amp;D432&amp;")*"&amp;C432&amp;"^"&amp;D432&amp;"*(1-"&amp;C432&amp;")^("&amp;B432&amp;"-"&amp;D432&amp;")</f>
        <v/>
      </c>
      <c r="F432">
        <f>COMBIN(B432,D432)*C432^D432*(1-C432)^(B432-D432)</f>
        <v/>
      </c>
      <c r="G432">
        <f>G431+F432</f>
        <v/>
      </c>
    </row>
    <row r="433">
      <c r="A433" t="inlineStr">
        <is>
          <t>buy100_medium_15</t>
        </is>
      </c>
      <c r="B433" t="n">
        <v>15</v>
      </c>
      <c r="C433" t="n">
        <v>0.69302792</v>
      </c>
      <c r="D433" t="n">
        <v>11</v>
      </c>
      <c r="E433">
        <f>"COMBIN("&amp;B433&amp;","&amp;D433&amp;")*"&amp;C433&amp;"^"&amp;D433&amp;"*(1-"&amp;C433&amp;")^("&amp;B433&amp;"-"&amp;D433&amp;")</f>
        <v/>
      </c>
      <c r="F433">
        <f>COMBIN(B433,D433)*C433^D433*(1-C433)^(B433-D433)</f>
        <v/>
      </c>
      <c r="G433">
        <f>G432+F433</f>
        <v/>
      </c>
    </row>
    <row r="434">
      <c r="A434" t="inlineStr">
        <is>
          <t>buy100_medium_15</t>
        </is>
      </c>
      <c r="B434" t="n">
        <v>15</v>
      </c>
      <c r="C434" t="n">
        <v>0.69302792</v>
      </c>
      <c r="D434" t="n">
        <v>12</v>
      </c>
      <c r="E434">
        <f>"COMBIN("&amp;B434&amp;","&amp;D434&amp;")*"&amp;C434&amp;"^"&amp;D434&amp;"*(1-"&amp;C434&amp;")^("&amp;B434&amp;"-"&amp;D434&amp;")</f>
        <v/>
      </c>
      <c r="F434">
        <f>COMBIN(B434,D434)*C434^D434*(1-C434)^(B434-D434)</f>
        <v/>
      </c>
      <c r="G434">
        <f>G433+F434</f>
        <v/>
      </c>
    </row>
    <row r="435">
      <c r="A435" t="inlineStr">
        <is>
          <t>buy100_medium_15</t>
        </is>
      </c>
      <c r="B435" t="n">
        <v>15</v>
      </c>
      <c r="C435" t="n">
        <v>0.69302792</v>
      </c>
      <c r="D435" t="n">
        <v>13</v>
      </c>
      <c r="E435">
        <f>"COMBIN("&amp;B435&amp;","&amp;D435&amp;")*"&amp;C435&amp;"^"&amp;D435&amp;"*(1-"&amp;C435&amp;")^("&amp;B435&amp;"-"&amp;D435&amp;")</f>
        <v/>
      </c>
      <c r="F435">
        <f>COMBIN(B435,D435)*C435^D435*(1-C435)^(B435-D435)</f>
        <v/>
      </c>
      <c r="G435">
        <f>G434+F435</f>
        <v/>
      </c>
    </row>
    <row r="436">
      <c r="A436" t="inlineStr">
        <is>
          <t>buy100_medium_15</t>
        </is>
      </c>
      <c r="B436" t="n">
        <v>15</v>
      </c>
      <c r="C436" t="n">
        <v>0.69302792</v>
      </c>
      <c r="D436" t="n">
        <v>14</v>
      </c>
      <c r="E436">
        <f>"COMBIN("&amp;B436&amp;","&amp;D436&amp;")*"&amp;C436&amp;"^"&amp;D436&amp;"*(1-"&amp;C436&amp;")^("&amp;B436&amp;"-"&amp;D436&amp;")</f>
        <v/>
      </c>
      <c r="F436">
        <f>COMBIN(B436,D436)*C436^D436*(1-C436)^(B436-D436)</f>
        <v/>
      </c>
      <c r="G436">
        <f>G435+F436</f>
        <v/>
      </c>
    </row>
    <row r="437">
      <c r="A437" t="inlineStr">
        <is>
          <t>buy100_medium_15</t>
        </is>
      </c>
      <c r="B437" t="n">
        <v>15</v>
      </c>
      <c r="C437" t="n">
        <v>0.69302792</v>
      </c>
      <c r="D437" t="n">
        <v>15</v>
      </c>
      <c r="E437">
        <f>"COMBIN("&amp;B437&amp;","&amp;D437&amp;")*"&amp;C437&amp;"^"&amp;D437&amp;"*(1-"&amp;C437&amp;")^("&amp;B437&amp;"-"&amp;D437&amp;")</f>
        <v/>
      </c>
      <c r="F437">
        <f>COMBIN(B437,D437)*C437^D437*(1-C437)^(B437-D437)</f>
        <v/>
      </c>
      <c r="G437">
        <f>G436+F437</f>
        <v/>
      </c>
    </row>
    <row r="438">
      <c r="A438" t="inlineStr">
        <is>
          <t>buy100_medium_16</t>
        </is>
      </c>
      <c r="B438" t="n">
        <v>16</v>
      </c>
      <c r="C438" t="n">
        <v>0.68558416</v>
      </c>
      <c r="D438" t="n">
        <v>0</v>
      </c>
      <c r="E438">
        <f>"COMBIN("&amp;B438&amp;","&amp;D438&amp;")*"&amp;C438&amp;"^"&amp;D438&amp;"*(1-"&amp;C438&amp;")^("&amp;B438&amp;"-"&amp;D438&amp;")</f>
        <v/>
      </c>
      <c r="F438">
        <f>COMBIN(B438,D438)*C438^D438*(1-C438)^(B438-D438)</f>
        <v/>
      </c>
      <c r="G438">
        <f>F438</f>
        <v/>
      </c>
      <c r="H438">
        <f>SUM(F438:F454)</f>
        <v/>
      </c>
    </row>
    <row r="439">
      <c r="A439" t="inlineStr">
        <is>
          <t>buy100_medium_16</t>
        </is>
      </c>
      <c r="B439" t="n">
        <v>16</v>
      </c>
      <c r="C439" t="n">
        <v>0.68558416</v>
      </c>
      <c r="D439" t="n">
        <v>1</v>
      </c>
      <c r="E439">
        <f>"COMBIN("&amp;B439&amp;","&amp;D439&amp;")*"&amp;C439&amp;"^"&amp;D439&amp;"*(1-"&amp;C439&amp;")^("&amp;B439&amp;"-"&amp;D439&amp;")</f>
        <v/>
      </c>
      <c r="F439">
        <f>COMBIN(B439,D439)*C439^D439*(1-C439)^(B439-D439)</f>
        <v/>
      </c>
      <c r="G439">
        <f>G438+F439</f>
        <v/>
      </c>
    </row>
    <row r="440">
      <c r="A440" t="inlineStr">
        <is>
          <t>buy100_medium_16</t>
        </is>
      </c>
      <c r="B440" t="n">
        <v>16</v>
      </c>
      <c r="C440" t="n">
        <v>0.68558416</v>
      </c>
      <c r="D440" t="n">
        <v>2</v>
      </c>
      <c r="E440">
        <f>"COMBIN("&amp;B440&amp;","&amp;D440&amp;")*"&amp;C440&amp;"^"&amp;D440&amp;"*(1-"&amp;C440&amp;")^("&amp;B440&amp;"-"&amp;D440&amp;")</f>
        <v/>
      </c>
      <c r="F440">
        <f>COMBIN(B440,D440)*C440^D440*(1-C440)^(B440-D440)</f>
        <v/>
      </c>
      <c r="G440">
        <f>G439+F440</f>
        <v/>
      </c>
    </row>
    <row r="441">
      <c r="A441" t="inlineStr">
        <is>
          <t>buy100_medium_16</t>
        </is>
      </c>
      <c r="B441" t="n">
        <v>16</v>
      </c>
      <c r="C441" t="n">
        <v>0.68558416</v>
      </c>
      <c r="D441" t="n">
        <v>3</v>
      </c>
      <c r="E441">
        <f>"COMBIN("&amp;B441&amp;","&amp;D441&amp;")*"&amp;C441&amp;"^"&amp;D441&amp;"*(1-"&amp;C441&amp;")^("&amp;B441&amp;"-"&amp;D441&amp;")</f>
        <v/>
      </c>
      <c r="F441">
        <f>COMBIN(B441,D441)*C441^D441*(1-C441)^(B441-D441)</f>
        <v/>
      </c>
      <c r="G441">
        <f>G440+F441</f>
        <v/>
      </c>
    </row>
    <row r="442">
      <c r="A442" t="inlineStr">
        <is>
          <t>buy100_medium_16</t>
        </is>
      </c>
      <c r="B442" t="n">
        <v>16</v>
      </c>
      <c r="C442" t="n">
        <v>0.68558416</v>
      </c>
      <c r="D442" t="n">
        <v>4</v>
      </c>
      <c r="E442">
        <f>"COMBIN("&amp;B442&amp;","&amp;D442&amp;")*"&amp;C442&amp;"^"&amp;D442&amp;"*(1-"&amp;C442&amp;")^("&amp;B442&amp;"-"&amp;D442&amp;")</f>
        <v/>
      </c>
      <c r="F442">
        <f>COMBIN(B442,D442)*C442^D442*(1-C442)^(B442-D442)</f>
        <v/>
      </c>
      <c r="G442">
        <f>G441+F442</f>
        <v/>
      </c>
    </row>
    <row r="443">
      <c r="A443" t="inlineStr">
        <is>
          <t>buy100_medium_16</t>
        </is>
      </c>
      <c r="B443" t="n">
        <v>16</v>
      </c>
      <c r="C443" t="n">
        <v>0.68558416</v>
      </c>
      <c r="D443" t="n">
        <v>5</v>
      </c>
      <c r="E443">
        <f>"COMBIN("&amp;B443&amp;","&amp;D443&amp;")*"&amp;C443&amp;"^"&amp;D443&amp;"*(1-"&amp;C443&amp;")^("&amp;B443&amp;"-"&amp;D443&amp;")</f>
        <v/>
      </c>
      <c r="F443">
        <f>COMBIN(B443,D443)*C443^D443*(1-C443)^(B443-D443)</f>
        <v/>
      </c>
      <c r="G443">
        <f>G442+F443</f>
        <v/>
      </c>
    </row>
    <row r="444">
      <c r="A444" t="inlineStr">
        <is>
          <t>buy100_medium_16</t>
        </is>
      </c>
      <c r="B444" t="n">
        <v>16</v>
      </c>
      <c r="C444" t="n">
        <v>0.68558416</v>
      </c>
      <c r="D444" t="n">
        <v>6</v>
      </c>
      <c r="E444">
        <f>"COMBIN("&amp;B444&amp;","&amp;D444&amp;")*"&amp;C444&amp;"^"&amp;D444&amp;"*(1-"&amp;C444&amp;")^("&amp;B444&amp;"-"&amp;D444&amp;")</f>
        <v/>
      </c>
      <c r="F444">
        <f>COMBIN(B444,D444)*C444^D444*(1-C444)^(B444-D444)</f>
        <v/>
      </c>
      <c r="G444">
        <f>G443+F444</f>
        <v/>
      </c>
    </row>
    <row r="445">
      <c r="A445" t="inlineStr">
        <is>
          <t>buy100_medium_16</t>
        </is>
      </c>
      <c r="B445" t="n">
        <v>16</v>
      </c>
      <c r="C445" t="n">
        <v>0.68558416</v>
      </c>
      <c r="D445" t="n">
        <v>7</v>
      </c>
      <c r="E445">
        <f>"COMBIN("&amp;B445&amp;","&amp;D445&amp;")*"&amp;C445&amp;"^"&amp;D445&amp;"*(1-"&amp;C445&amp;")^("&amp;B445&amp;"-"&amp;D445&amp;")</f>
        <v/>
      </c>
      <c r="F445">
        <f>COMBIN(B445,D445)*C445^D445*(1-C445)^(B445-D445)</f>
        <v/>
      </c>
      <c r="G445">
        <f>G444+F445</f>
        <v/>
      </c>
    </row>
    <row r="446">
      <c r="A446" t="inlineStr">
        <is>
          <t>buy100_medium_16</t>
        </is>
      </c>
      <c r="B446" t="n">
        <v>16</v>
      </c>
      <c r="C446" t="n">
        <v>0.68558416</v>
      </c>
      <c r="D446" t="n">
        <v>8</v>
      </c>
      <c r="E446">
        <f>"COMBIN("&amp;B446&amp;","&amp;D446&amp;")*"&amp;C446&amp;"^"&amp;D446&amp;"*(1-"&amp;C446&amp;")^("&amp;B446&amp;"-"&amp;D446&amp;")</f>
        <v/>
      </c>
      <c r="F446">
        <f>COMBIN(B446,D446)*C446^D446*(1-C446)^(B446-D446)</f>
        <v/>
      </c>
      <c r="G446">
        <f>G445+F446</f>
        <v/>
      </c>
    </row>
    <row r="447">
      <c r="A447" t="inlineStr">
        <is>
          <t>buy100_medium_16</t>
        </is>
      </c>
      <c r="B447" t="n">
        <v>16</v>
      </c>
      <c r="C447" t="n">
        <v>0.68558416</v>
      </c>
      <c r="D447" t="n">
        <v>9</v>
      </c>
      <c r="E447">
        <f>"COMBIN("&amp;B447&amp;","&amp;D447&amp;")*"&amp;C447&amp;"^"&amp;D447&amp;"*(1-"&amp;C447&amp;")^("&amp;B447&amp;"-"&amp;D447&amp;")</f>
        <v/>
      </c>
      <c r="F447">
        <f>COMBIN(B447,D447)*C447^D447*(1-C447)^(B447-D447)</f>
        <v/>
      </c>
      <c r="G447">
        <f>G446+F447</f>
        <v/>
      </c>
    </row>
    <row r="448">
      <c r="A448" t="inlineStr">
        <is>
          <t>buy100_medium_16</t>
        </is>
      </c>
      <c r="B448" t="n">
        <v>16</v>
      </c>
      <c r="C448" t="n">
        <v>0.68558416</v>
      </c>
      <c r="D448" t="n">
        <v>10</v>
      </c>
      <c r="E448">
        <f>"COMBIN("&amp;B448&amp;","&amp;D448&amp;")*"&amp;C448&amp;"^"&amp;D448&amp;"*(1-"&amp;C448&amp;")^("&amp;B448&amp;"-"&amp;D448&amp;")</f>
        <v/>
      </c>
      <c r="F448">
        <f>COMBIN(B448,D448)*C448^D448*(1-C448)^(B448-D448)</f>
        <v/>
      </c>
      <c r="G448">
        <f>G447+F448</f>
        <v/>
      </c>
    </row>
    <row r="449">
      <c r="A449" t="inlineStr">
        <is>
          <t>buy100_medium_16</t>
        </is>
      </c>
      <c r="B449" t="n">
        <v>16</v>
      </c>
      <c r="C449" t="n">
        <v>0.68558416</v>
      </c>
      <c r="D449" t="n">
        <v>11</v>
      </c>
      <c r="E449">
        <f>"COMBIN("&amp;B449&amp;","&amp;D449&amp;")*"&amp;C449&amp;"^"&amp;D449&amp;"*(1-"&amp;C449&amp;")^("&amp;B449&amp;"-"&amp;D449&amp;")</f>
        <v/>
      </c>
      <c r="F449">
        <f>COMBIN(B449,D449)*C449^D449*(1-C449)^(B449-D449)</f>
        <v/>
      </c>
      <c r="G449">
        <f>G448+F449</f>
        <v/>
      </c>
    </row>
    <row r="450">
      <c r="A450" t="inlineStr">
        <is>
          <t>buy100_medium_16</t>
        </is>
      </c>
      <c r="B450" t="n">
        <v>16</v>
      </c>
      <c r="C450" t="n">
        <v>0.68558416</v>
      </c>
      <c r="D450" t="n">
        <v>12</v>
      </c>
      <c r="E450">
        <f>"COMBIN("&amp;B450&amp;","&amp;D450&amp;")*"&amp;C450&amp;"^"&amp;D450&amp;"*(1-"&amp;C450&amp;")^("&amp;B450&amp;"-"&amp;D450&amp;")</f>
        <v/>
      </c>
      <c r="F450">
        <f>COMBIN(B450,D450)*C450^D450*(1-C450)^(B450-D450)</f>
        <v/>
      </c>
      <c r="G450">
        <f>G449+F450</f>
        <v/>
      </c>
    </row>
    <row r="451">
      <c r="A451" t="inlineStr">
        <is>
          <t>buy100_medium_16</t>
        </is>
      </c>
      <c r="B451" t="n">
        <v>16</v>
      </c>
      <c r="C451" t="n">
        <v>0.68558416</v>
      </c>
      <c r="D451" t="n">
        <v>13</v>
      </c>
      <c r="E451">
        <f>"COMBIN("&amp;B451&amp;","&amp;D451&amp;")*"&amp;C451&amp;"^"&amp;D451&amp;"*(1-"&amp;C451&amp;")^("&amp;B451&amp;"-"&amp;D451&amp;")</f>
        <v/>
      </c>
      <c r="F451">
        <f>COMBIN(B451,D451)*C451^D451*(1-C451)^(B451-D451)</f>
        <v/>
      </c>
      <c r="G451">
        <f>G450+F451</f>
        <v/>
      </c>
    </row>
    <row r="452">
      <c r="A452" t="inlineStr">
        <is>
          <t>buy100_medium_16</t>
        </is>
      </c>
      <c r="B452" t="n">
        <v>16</v>
      </c>
      <c r="C452" t="n">
        <v>0.68558416</v>
      </c>
      <c r="D452" t="n">
        <v>14</v>
      </c>
      <c r="E452">
        <f>"COMBIN("&amp;B452&amp;","&amp;D452&amp;")*"&amp;C452&amp;"^"&amp;D452&amp;"*(1-"&amp;C452&amp;")^("&amp;B452&amp;"-"&amp;D452&amp;")</f>
        <v/>
      </c>
      <c r="F452">
        <f>COMBIN(B452,D452)*C452^D452*(1-C452)^(B452-D452)</f>
        <v/>
      </c>
      <c r="G452">
        <f>G451+F452</f>
        <v/>
      </c>
    </row>
    <row r="453">
      <c r="A453" t="inlineStr">
        <is>
          <t>buy100_medium_16</t>
        </is>
      </c>
      <c r="B453" t="n">
        <v>16</v>
      </c>
      <c r="C453" t="n">
        <v>0.68558416</v>
      </c>
      <c r="D453" t="n">
        <v>15</v>
      </c>
      <c r="E453">
        <f>"COMBIN("&amp;B453&amp;","&amp;D453&amp;")*"&amp;C453&amp;"^"&amp;D453&amp;"*(1-"&amp;C453&amp;")^("&amp;B453&amp;"-"&amp;D453&amp;")</f>
        <v/>
      </c>
      <c r="F453">
        <f>COMBIN(B453,D453)*C453^D453*(1-C453)^(B453-D453)</f>
        <v/>
      </c>
      <c r="G453">
        <f>G452+F453</f>
        <v/>
      </c>
    </row>
    <row r="454">
      <c r="A454" t="inlineStr">
        <is>
          <t>buy100_medium_16</t>
        </is>
      </c>
      <c r="B454" t="n">
        <v>16</v>
      </c>
      <c r="C454" t="n">
        <v>0.68558416</v>
      </c>
      <c r="D454" t="n">
        <v>16</v>
      </c>
      <c r="E454">
        <f>"COMBIN("&amp;B454&amp;","&amp;D454&amp;")*"&amp;C454&amp;"^"&amp;D454&amp;"*(1-"&amp;C454&amp;")^("&amp;B454&amp;"-"&amp;D454&amp;")</f>
        <v/>
      </c>
      <c r="F454">
        <f>COMBIN(B454,D454)*C454^D454*(1-C454)^(B454-D454)</f>
        <v/>
      </c>
      <c r="G454">
        <f>G453+F454</f>
        <v/>
      </c>
    </row>
    <row r="455">
      <c r="A455" t="inlineStr">
        <is>
          <t>buy100_medium_8</t>
        </is>
      </c>
      <c r="B455" t="n">
        <v>8</v>
      </c>
      <c r="C455" t="n">
        <v>0.71329448</v>
      </c>
      <c r="D455" t="n">
        <v>0</v>
      </c>
      <c r="E455">
        <f>"COMBIN("&amp;B455&amp;","&amp;D455&amp;")*"&amp;C455&amp;"^"&amp;D455&amp;"*(1-"&amp;C455&amp;")^("&amp;B455&amp;"-"&amp;D455&amp;")</f>
        <v/>
      </c>
      <c r="F455">
        <f>COMBIN(B455,D455)*C455^D455*(1-C455)^(B455-D455)</f>
        <v/>
      </c>
      <c r="G455">
        <f>F455</f>
        <v/>
      </c>
      <c r="H455">
        <f>SUM(F455:F463)</f>
        <v/>
      </c>
    </row>
    <row r="456">
      <c r="A456" t="inlineStr">
        <is>
          <t>buy100_medium_8</t>
        </is>
      </c>
      <c r="B456" t="n">
        <v>8</v>
      </c>
      <c r="C456" t="n">
        <v>0.71329448</v>
      </c>
      <c r="D456" t="n">
        <v>1</v>
      </c>
      <c r="E456">
        <f>"COMBIN("&amp;B456&amp;","&amp;D456&amp;")*"&amp;C456&amp;"^"&amp;D456&amp;"*(1-"&amp;C456&amp;")^("&amp;B456&amp;"-"&amp;D456&amp;")</f>
        <v/>
      </c>
      <c r="F456">
        <f>COMBIN(B456,D456)*C456^D456*(1-C456)^(B456-D456)</f>
        <v/>
      </c>
      <c r="G456">
        <f>G455+F456</f>
        <v/>
      </c>
    </row>
    <row r="457">
      <c r="A457" t="inlineStr">
        <is>
          <t>buy100_medium_8</t>
        </is>
      </c>
      <c r="B457" t="n">
        <v>8</v>
      </c>
      <c r="C457" t="n">
        <v>0.71329448</v>
      </c>
      <c r="D457" t="n">
        <v>2</v>
      </c>
      <c r="E457">
        <f>"COMBIN("&amp;B457&amp;","&amp;D457&amp;")*"&amp;C457&amp;"^"&amp;D457&amp;"*(1-"&amp;C457&amp;")^("&amp;B457&amp;"-"&amp;D457&amp;")</f>
        <v/>
      </c>
      <c r="F457">
        <f>COMBIN(B457,D457)*C457^D457*(1-C457)^(B457-D457)</f>
        <v/>
      </c>
      <c r="G457">
        <f>G456+F457</f>
        <v/>
      </c>
    </row>
    <row r="458">
      <c r="A458" t="inlineStr">
        <is>
          <t>buy100_medium_8</t>
        </is>
      </c>
      <c r="B458" t="n">
        <v>8</v>
      </c>
      <c r="C458" t="n">
        <v>0.71329448</v>
      </c>
      <c r="D458" t="n">
        <v>3</v>
      </c>
      <c r="E458">
        <f>"COMBIN("&amp;B458&amp;","&amp;D458&amp;")*"&amp;C458&amp;"^"&amp;D458&amp;"*(1-"&amp;C458&amp;")^("&amp;B458&amp;"-"&amp;D458&amp;")</f>
        <v/>
      </c>
      <c r="F458">
        <f>COMBIN(B458,D458)*C458^D458*(1-C458)^(B458-D458)</f>
        <v/>
      </c>
      <c r="G458">
        <f>G457+F458</f>
        <v/>
      </c>
    </row>
    <row r="459">
      <c r="A459" t="inlineStr">
        <is>
          <t>buy100_medium_8</t>
        </is>
      </c>
      <c r="B459" t="n">
        <v>8</v>
      </c>
      <c r="C459" t="n">
        <v>0.71329448</v>
      </c>
      <c r="D459" t="n">
        <v>4</v>
      </c>
      <c r="E459">
        <f>"COMBIN("&amp;B459&amp;","&amp;D459&amp;")*"&amp;C459&amp;"^"&amp;D459&amp;"*(1-"&amp;C459&amp;")^("&amp;B459&amp;"-"&amp;D459&amp;")</f>
        <v/>
      </c>
      <c r="F459">
        <f>COMBIN(B459,D459)*C459^D459*(1-C459)^(B459-D459)</f>
        <v/>
      </c>
      <c r="G459">
        <f>G458+F459</f>
        <v/>
      </c>
    </row>
    <row r="460">
      <c r="A460" t="inlineStr">
        <is>
          <t>buy100_medium_8</t>
        </is>
      </c>
      <c r="B460" t="n">
        <v>8</v>
      </c>
      <c r="C460" t="n">
        <v>0.71329448</v>
      </c>
      <c r="D460" t="n">
        <v>5</v>
      </c>
      <c r="E460">
        <f>"COMBIN("&amp;B460&amp;","&amp;D460&amp;")*"&amp;C460&amp;"^"&amp;D460&amp;"*(1-"&amp;C460&amp;")^("&amp;B460&amp;"-"&amp;D460&amp;")</f>
        <v/>
      </c>
      <c r="F460">
        <f>COMBIN(B460,D460)*C460^D460*(1-C460)^(B460-D460)</f>
        <v/>
      </c>
      <c r="G460">
        <f>G459+F460</f>
        <v/>
      </c>
    </row>
    <row r="461">
      <c r="A461" t="inlineStr">
        <is>
          <t>buy100_medium_8</t>
        </is>
      </c>
      <c r="B461" t="n">
        <v>8</v>
      </c>
      <c r="C461" t="n">
        <v>0.71329448</v>
      </c>
      <c r="D461" t="n">
        <v>6</v>
      </c>
      <c r="E461">
        <f>"COMBIN("&amp;B461&amp;","&amp;D461&amp;")*"&amp;C461&amp;"^"&amp;D461&amp;"*(1-"&amp;C461&amp;")^("&amp;B461&amp;"-"&amp;D461&amp;")</f>
        <v/>
      </c>
      <c r="F461">
        <f>COMBIN(B461,D461)*C461^D461*(1-C461)^(B461-D461)</f>
        <v/>
      </c>
      <c r="G461">
        <f>G460+F461</f>
        <v/>
      </c>
    </row>
    <row r="462">
      <c r="A462" t="inlineStr">
        <is>
          <t>buy100_medium_8</t>
        </is>
      </c>
      <c r="B462" t="n">
        <v>8</v>
      </c>
      <c r="C462" t="n">
        <v>0.71329448</v>
      </c>
      <c r="D462" t="n">
        <v>7</v>
      </c>
      <c r="E462">
        <f>"COMBIN("&amp;B462&amp;","&amp;D462&amp;")*"&amp;C462&amp;"^"&amp;D462&amp;"*(1-"&amp;C462&amp;")^("&amp;B462&amp;"-"&amp;D462&amp;")</f>
        <v/>
      </c>
      <c r="F462">
        <f>COMBIN(B462,D462)*C462^D462*(1-C462)^(B462-D462)</f>
        <v/>
      </c>
      <c r="G462">
        <f>G461+F462</f>
        <v/>
      </c>
    </row>
    <row r="463">
      <c r="A463" t="inlineStr">
        <is>
          <t>buy100_medium_8</t>
        </is>
      </c>
      <c r="B463" t="n">
        <v>8</v>
      </c>
      <c r="C463" t="n">
        <v>0.71329448</v>
      </c>
      <c r="D463" t="n">
        <v>8</v>
      </c>
      <c r="E463">
        <f>"COMBIN("&amp;B463&amp;","&amp;D463&amp;")*"&amp;C463&amp;"^"&amp;D463&amp;"*(1-"&amp;C463&amp;")^("&amp;B463&amp;"-"&amp;D463&amp;")</f>
        <v/>
      </c>
      <c r="F463">
        <f>COMBIN(B463,D463)*C463^D463*(1-C463)^(B463-D463)</f>
        <v/>
      </c>
      <c r="G463">
        <f>G462+F463</f>
        <v/>
      </c>
    </row>
    <row r="464">
      <c r="A464" t="inlineStr">
        <is>
          <t>buy100_medium_9</t>
        </is>
      </c>
      <c r="B464" t="n">
        <v>9</v>
      </c>
      <c r="C464" t="n">
        <v>0.7141233299999999</v>
      </c>
      <c r="D464" t="n">
        <v>0</v>
      </c>
      <c r="E464">
        <f>"COMBIN("&amp;B464&amp;","&amp;D464&amp;")*"&amp;C464&amp;"^"&amp;D464&amp;"*(1-"&amp;C464&amp;")^("&amp;B464&amp;"-"&amp;D464&amp;")</f>
        <v/>
      </c>
      <c r="F464">
        <f>COMBIN(B464,D464)*C464^D464*(1-C464)^(B464-D464)</f>
        <v/>
      </c>
      <c r="G464">
        <f>F464</f>
        <v/>
      </c>
      <c r="H464">
        <f>SUM(F464:F473)</f>
        <v/>
      </c>
    </row>
    <row r="465">
      <c r="A465" t="inlineStr">
        <is>
          <t>buy100_medium_9</t>
        </is>
      </c>
      <c r="B465" t="n">
        <v>9</v>
      </c>
      <c r="C465" t="n">
        <v>0.7141233299999999</v>
      </c>
      <c r="D465" t="n">
        <v>1</v>
      </c>
      <c r="E465">
        <f>"COMBIN("&amp;B465&amp;","&amp;D465&amp;")*"&amp;C465&amp;"^"&amp;D465&amp;"*(1-"&amp;C465&amp;")^("&amp;B465&amp;"-"&amp;D465&amp;")</f>
        <v/>
      </c>
      <c r="F465">
        <f>COMBIN(B465,D465)*C465^D465*(1-C465)^(B465-D465)</f>
        <v/>
      </c>
      <c r="G465">
        <f>G464+F465</f>
        <v/>
      </c>
    </row>
    <row r="466">
      <c r="A466" t="inlineStr">
        <is>
          <t>buy100_medium_9</t>
        </is>
      </c>
      <c r="B466" t="n">
        <v>9</v>
      </c>
      <c r="C466" t="n">
        <v>0.7141233299999999</v>
      </c>
      <c r="D466" t="n">
        <v>2</v>
      </c>
      <c r="E466">
        <f>"COMBIN("&amp;B466&amp;","&amp;D466&amp;")*"&amp;C466&amp;"^"&amp;D466&amp;"*(1-"&amp;C466&amp;")^("&amp;B466&amp;"-"&amp;D466&amp;")</f>
        <v/>
      </c>
      <c r="F466">
        <f>COMBIN(B466,D466)*C466^D466*(1-C466)^(B466-D466)</f>
        <v/>
      </c>
      <c r="G466">
        <f>G465+F466</f>
        <v/>
      </c>
    </row>
    <row r="467">
      <c r="A467" t="inlineStr">
        <is>
          <t>buy100_medium_9</t>
        </is>
      </c>
      <c r="B467" t="n">
        <v>9</v>
      </c>
      <c r="C467" t="n">
        <v>0.7141233299999999</v>
      </c>
      <c r="D467" t="n">
        <v>3</v>
      </c>
      <c r="E467">
        <f>"COMBIN("&amp;B467&amp;","&amp;D467&amp;")*"&amp;C467&amp;"^"&amp;D467&amp;"*(1-"&amp;C467&amp;")^("&amp;B467&amp;"-"&amp;D467&amp;")</f>
        <v/>
      </c>
      <c r="F467">
        <f>COMBIN(B467,D467)*C467^D467*(1-C467)^(B467-D467)</f>
        <v/>
      </c>
      <c r="G467">
        <f>G466+F467</f>
        <v/>
      </c>
    </row>
    <row r="468">
      <c r="A468" t="inlineStr">
        <is>
          <t>buy100_medium_9</t>
        </is>
      </c>
      <c r="B468" t="n">
        <v>9</v>
      </c>
      <c r="C468" t="n">
        <v>0.7141233299999999</v>
      </c>
      <c r="D468" t="n">
        <v>4</v>
      </c>
      <c r="E468">
        <f>"COMBIN("&amp;B468&amp;","&amp;D468&amp;")*"&amp;C468&amp;"^"&amp;D468&amp;"*(1-"&amp;C468&amp;")^("&amp;B468&amp;"-"&amp;D468&amp;")</f>
        <v/>
      </c>
      <c r="F468">
        <f>COMBIN(B468,D468)*C468^D468*(1-C468)^(B468-D468)</f>
        <v/>
      </c>
      <c r="G468">
        <f>G467+F468</f>
        <v/>
      </c>
    </row>
    <row r="469">
      <c r="A469" t="inlineStr">
        <is>
          <t>buy100_medium_9</t>
        </is>
      </c>
      <c r="B469" t="n">
        <v>9</v>
      </c>
      <c r="C469" t="n">
        <v>0.7141233299999999</v>
      </c>
      <c r="D469" t="n">
        <v>5</v>
      </c>
      <c r="E469">
        <f>"COMBIN("&amp;B469&amp;","&amp;D469&amp;")*"&amp;C469&amp;"^"&amp;D469&amp;"*(1-"&amp;C469&amp;")^("&amp;B469&amp;"-"&amp;D469&amp;")</f>
        <v/>
      </c>
      <c r="F469">
        <f>COMBIN(B469,D469)*C469^D469*(1-C469)^(B469-D469)</f>
        <v/>
      </c>
      <c r="G469">
        <f>G468+F469</f>
        <v/>
      </c>
    </row>
    <row r="470">
      <c r="A470" t="inlineStr">
        <is>
          <t>buy100_medium_9</t>
        </is>
      </c>
      <c r="B470" t="n">
        <v>9</v>
      </c>
      <c r="C470" t="n">
        <v>0.7141233299999999</v>
      </c>
      <c r="D470" t="n">
        <v>6</v>
      </c>
      <c r="E470">
        <f>"COMBIN("&amp;B470&amp;","&amp;D470&amp;")*"&amp;C470&amp;"^"&amp;D470&amp;"*(1-"&amp;C470&amp;")^("&amp;B470&amp;"-"&amp;D470&amp;")</f>
        <v/>
      </c>
      <c r="F470">
        <f>COMBIN(B470,D470)*C470^D470*(1-C470)^(B470-D470)</f>
        <v/>
      </c>
      <c r="G470">
        <f>G469+F470</f>
        <v/>
      </c>
    </row>
    <row r="471">
      <c r="A471" t="inlineStr">
        <is>
          <t>buy100_medium_9</t>
        </is>
      </c>
      <c r="B471" t="n">
        <v>9</v>
      </c>
      <c r="C471" t="n">
        <v>0.7141233299999999</v>
      </c>
      <c r="D471" t="n">
        <v>7</v>
      </c>
      <c r="E471">
        <f>"COMBIN("&amp;B471&amp;","&amp;D471&amp;")*"&amp;C471&amp;"^"&amp;D471&amp;"*(1-"&amp;C471&amp;")^("&amp;B471&amp;"-"&amp;D471&amp;")</f>
        <v/>
      </c>
      <c r="F471">
        <f>COMBIN(B471,D471)*C471^D471*(1-C471)^(B471-D471)</f>
        <v/>
      </c>
      <c r="G471">
        <f>G470+F471</f>
        <v/>
      </c>
    </row>
    <row r="472">
      <c r="A472" t="inlineStr">
        <is>
          <t>buy100_medium_9</t>
        </is>
      </c>
      <c r="B472" t="n">
        <v>9</v>
      </c>
      <c r="C472" t="n">
        <v>0.7141233299999999</v>
      </c>
      <c r="D472" t="n">
        <v>8</v>
      </c>
      <c r="E472">
        <f>"COMBIN("&amp;B472&amp;","&amp;D472&amp;")*"&amp;C472&amp;"^"&amp;D472&amp;"*(1-"&amp;C472&amp;")^("&amp;B472&amp;"-"&amp;D472&amp;")</f>
        <v/>
      </c>
      <c r="F472">
        <f>COMBIN(B472,D472)*C472^D472*(1-C472)^(B472-D472)</f>
        <v/>
      </c>
      <c r="G472">
        <f>G471+F472</f>
        <v/>
      </c>
    </row>
    <row r="473">
      <c r="A473" t="inlineStr">
        <is>
          <t>buy100_medium_9</t>
        </is>
      </c>
      <c r="B473" t="n">
        <v>9</v>
      </c>
      <c r="C473" t="n">
        <v>0.7141233299999999</v>
      </c>
      <c r="D473" t="n">
        <v>9</v>
      </c>
      <c r="E473">
        <f>"COMBIN("&amp;B473&amp;","&amp;D473&amp;")*"&amp;C473&amp;"^"&amp;D473&amp;"*(1-"&amp;C473&amp;")^("&amp;B473&amp;"-"&amp;D473&amp;")</f>
        <v/>
      </c>
      <c r="F473">
        <f>COMBIN(B473,D473)*C473^D473*(1-C473)^(B473-D473)</f>
        <v/>
      </c>
      <c r="G473">
        <f>G472+F473</f>
        <v/>
      </c>
    </row>
    <row r="474">
      <c r="A474" t="inlineStr">
        <is>
          <t>normal_expert_10</t>
        </is>
      </c>
      <c r="B474" t="n">
        <v>10</v>
      </c>
      <c r="C474" t="n">
        <v>0.46094971</v>
      </c>
      <c r="D474" t="n">
        <v>0</v>
      </c>
      <c r="E474">
        <f>"COMBIN("&amp;B474&amp;","&amp;D474&amp;")*"&amp;C474&amp;"^"&amp;D474&amp;"*(1-"&amp;C474&amp;")^("&amp;B474&amp;"-"&amp;D474&amp;")</f>
        <v/>
      </c>
      <c r="F474">
        <f>COMBIN(B474,D474)*C474^D474*(1-C474)^(B474-D474)</f>
        <v/>
      </c>
      <c r="G474">
        <f>F474</f>
        <v/>
      </c>
      <c r="H474">
        <f>SUM(F474:F484)</f>
        <v/>
      </c>
    </row>
    <row r="475">
      <c r="A475" t="inlineStr">
        <is>
          <t>normal_expert_10</t>
        </is>
      </c>
      <c r="B475" t="n">
        <v>10</v>
      </c>
      <c r="C475" t="n">
        <v>0.46094971</v>
      </c>
      <c r="D475" t="n">
        <v>1</v>
      </c>
      <c r="E475">
        <f>"COMBIN("&amp;B475&amp;","&amp;D475&amp;")*"&amp;C475&amp;"^"&amp;D475&amp;"*(1-"&amp;C475&amp;")^("&amp;B475&amp;"-"&amp;D475&amp;")</f>
        <v/>
      </c>
      <c r="F475">
        <f>COMBIN(B475,D475)*C475^D475*(1-C475)^(B475-D475)</f>
        <v/>
      </c>
      <c r="G475">
        <f>G474+F475</f>
        <v/>
      </c>
    </row>
    <row r="476">
      <c r="A476" t="inlineStr">
        <is>
          <t>normal_expert_10</t>
        </is>
      </c>
      <c r="B476" t="n">
        <v>10</v>
      </c>
      <c r="C476" t="n">
        <v>0.46094971</v>
      </c>
      <c r="D476" t="n">
        <v>2</v>
      </c>
      <c r="E476">
        <f>"COMBIN("&amp;B476&amp;","&amp;D476&amp;")*"&amp;C476&amp;"^"&amp;D476&amp;"*(1-"&amp;C476&amp;")^("&amp;B476&amp;"-"&amp;D476&amp;")</f>
        <v/>
      </c>
      <c r="F476">
        <f>COMBIN(B476,D476)*C476^D476*(1-C476)^(B476-D476)</f>
        <v/>
      </c>
      <c r="G476">
        <f>G475+F476</f>
        <v/>
      </c>
    </row>
    <row r="477">
      <c r="A477" t="inlineStr">
        <is>
          <t>normal_expert_10</t>
        </is>
      </c>
      <c r="B477" t="n">
        <v>10</v>
      </c>
      <c r="C477" t="n">
        <v>0.46094971</v>
      </c>
      <c r="D477" t="n">
        <v>3</v>
      </c>
      <c r="E477">
        <f>"COMBIN("&amp;B477&amp;","&amp;D477&amp;")*"&amp;C477&amp;"^"&amp;D477&amp;"*(1-"&amp;C477&amp;")^("&amp;B477&amp;"-"&amp;D477&amp;")</f>
        <v/>
      </c>
      <c r="F477">
        <f>COMBIN(B477,D477)*C477^D477*(1-C477)^(B477-D477)</f>
        <v/>
      </c>
      <c r="G477">
        <f>G476+F477</f>
        <v/>
      </c>
    </row>
    <row r="478">
      <c r="A478" t="inlineStr">
        <is>
          <t>normal_expert_10</t>
        </is>
      </c>
      <c r="B478" t="n">
        <v>10</v>
      </c>
      <c r="C478" t="n">
        <v>0.46094971</v>
      </c>
      <c r="D478" t="n">
        <v>4</v>
      </c>
      <c r="E478">
        <f>"COMBIN("&amp;B478&amp;","&amp;D478&amp;")*"&amp;C478&amp;"^"&amp;D478&amp;"*(1-"&amp;C478&amp;")^("&amp;B478&amp;"-"&amp;D478&amp;")</f>
        <v/>
      </c>
      <c r="F478">
        <f>COMBIN(B478,D478)*C478^D478*(1-C478)^(B478-D478)</f>
        <v/>
      </c>
      <c r="G478">
        <f>G477+F478</f>
        <v/>
      </c>
    </row>
    <row r="479">
      <c r="A479" t="inlineStr">
        <is>
          <t>normal_expert_10</t>
        </is>
      </c>
      <c r="B479" t="n">
        <v>10</v>
      </c>
      <c r="C479" t="n">
        <v>0.46094971</v>
      </c>
      <c r="D479" t="n">
        <v>5</v>
      </c>
      <c r="E479">
        <f>"COMBIN("&amp;B479&amp;","&amp;D479&amp;")*"&amp;C479&amp;"^"&amp;D479&amp;"*(1-"&amp;C479&amp;")^("&amp;B479&amp;"-"&amp;D479&amp;")</f>
        <v/>
      </c>
      <c r="F479">
        <f>COMBIN(B479,D479)*C479^D479*(1-C479)^(B479-D479)</f>
        <v/>
      </c>
      <c r="G479">
        <f>G478+F479</f>
        <v/>
      </c>
    </row>
    <row r="480">
      <c r="A480" t="inlineStr">
        <is>
          <t>normal_expert_10</t>
        </is>
      </c>
      <c r="B480" t="n">
        <v>10</v>
      </c>
      <c r="C480" t="n">
        <v>0.46094971</v>
      </c>
      <c r="D480" t="n">
        <v>6</v>
      </c>
      <c r="E480">
        <f>"COMBIN("&amp;B480&amp;","&amp;D480&amp;")*"&amp;C480&amp;"^"&amp;D480&amp;"*(1-"&amp;C480&amp;")^("&amp;B480&amp;"-"&amp;D480&amp;")</f>
        <v/>
      </c>
      <c r="F480">
        <f>COMBIN(B480,D480)*C480^D480*(1-C480)^(B480-D480)</f>
        <v/>
      </c>
      <c r="G480">
        <f>G479+F480</f>
        <v/>
      </c>
    </row>
    <row r="481">
      <c r="A481" t="inlineStr">
        <is>
          <t>normal_expert_10</t>
        </is>
      </c>
      <c r="B481" t="n">
        <v>10</v>
      </c>
      <c r="C481" t="n">
        <v>0.46094971</v>
      </c>
      <c r="D481" t="n">
        <v>7</v>
      </c>
      <c r="E481">
        <f>"COMBIN("&amp;B481&amp;","&amp;D481&amp;")*"&amp;C481&amp;"^"&amp;D481&amp;"*(1-"&amp;C481&amp;")^("&amp;B481&amp;"-"&amp;D481&amp;")</f>
        <v/>
      </c>
      <c r="F481">
        <f>COMBIN(B481,D481)*C481^D481*(1-C481)^(B481-D481)</f>
        <v/>
      </c>
      <c r="G481">
        <f>G480+F481</f>
        <v/>
      </c>
    </row>
    <row r="482">
      <c r="A482" t="inlineStr">
        <is>
          <t>normal_expert_10</t>
        </is>
      </c>
      <c r="B482" t="n">
        <v>10</v>
      </c>
      <c r="C482" t="n">
        <v>0.46094971</v>
      </c>
      <c r="D482" t="n">
        <v>8</v>
      </c>
      <c r="E482">
        <f>"COMBIN("&amp;B482&amp;","&amp;D482&amp;")*"&amp;C482&amp;"^"&amp;D482&amp;"*(1-"&amp;C482&amp;")^("&amp;B482&amp;"-"&amp;D482&amp;")</f>
        <v/>
      </c>
      <c r="F482">
        <f>COMBIN(B482,D482)*C482^D482*(1-C482)^(B482-D482)</f>
        <v/>
      </c>
      <c r="G482">
        <f>G481+F482</f>
        <v/>
      </c>
    </row>
    <row r="483">
      <c r="A483" t="inlineStr">
        <is>
          <t>normal_expert_10</t>
        </is>
      </c>
      <c r="B483" t="n">
        <v>10</v>
      </c>
      <c r="C483" t="n">
        <v>0.46094971</v>
      </c>
      <c r="D483" t="n">
        <v>9</v>
      </c>
      <c r="E483">
        <f>"COMBIN("&amp;B483&amp;","&amp;D483&amp;")*"&amp;C483&amp;"^"&amp;D483&amp;"*(1-"&amp;C483&amp;")^("&amp;B483&amp;"-"&amp;D483&amp;")</f>
        <v/>
      </c>
      <c r="F483">
        <f>COMBIN(B483,D483)*C483^D483*(1-C483)^(B483-D483)</f>
        <v/>
      </c>
      <c r="G483">
        <f>G482+F483</f>
        <v/>
      </c>
    </row>
    <row r="484">
      <c r="A484" t="inlineStr">
        <is>
          <t>normal_expert_10</t>
        </is>
      </c>
      <c r="B484" t="n">
        <v>10</v>
      </c>
      <c r="C484" t="n">
        <v>0.46094971</v>
      </c>
      <c r="D484" t="n">
        <v>10</v>
      </c>
      <c r="E484">
        <f>"COMBIN("&amp;B484&amp;","&amp;D484&amp;")*"&amp;C484&amp;"^"&amp;D484&amp;"*(1-"&amp;C484&amp;")^("&amp;B484&amp;"-"&amp;D484&amp;")</f>
        <v/>
      </c>
      <c r="F484">
        <f>COMBIN(B484,D484)*C484^D484*(1-C484)^(B484-D484)</f>
        <v/>
      </c>
      <c r="G484">
        <f>G483+F484</f>
        <v/>
      </c>
    </row>
    <row r="485">
      <c r="A485" t="inlineStr">
        <is>
          <t>normal_expert_11</t>
        </is>
      </c>
      <c r="B485" t="n">
        <v>11</v>
      </c>
      <c r="C485" t="n">
        <v>0.45994886</v>
      </c>
      <c r="D485" t="n">
        <v>0</v>
      </c>
      <c r="E485">
        <f>"COMBIN("&amp;B485&amp;","&amp;D485&amp;")*"&amp;C485&amp;"^"&amp;D485&amp;"*(1-"&amp;C485&amp;")^("&amp;B485&amp;"-"&amp;D485&amp;")</f>
        <v/>
      </c>
      <c r="F485">
        <f>COMBIN(B485,D485)*C485^D485*(1-C485)^(B485-D485)</f>
        <v/>
      </c>
      <c r="G485">
        <f>F485</f>
        <v/>
      </c>
      <c r="H485">
        <f>SUM(F485:F496)</f>
        <v/>
      </c>
    </row>
    <row r="486">
      <c r="A486" t="inlineStr">
        <is>
          <t>normal_expert_11</t>
        </is>
      </c>
      <c r="B486" t="n">
        <v>11</v>
      </c>
      <c r="C486" t="n">
        <v>0.45994886</v>
      </c>
      <c r="D486" t="n">
        <v>1</v>
      </c>
      <c r="E486">
        <f>"COMBIN("&amp;B486&amp;","&amp;D486&amp;")*"&amp;C486&amp;"^"&amp;D486&amp;"*(1-"&amp;C486&amp;")^("&amp;B486&amp;"-"&amp;D486&amp;")</f>
        <v/>
      </c>
      <c r="F486">
        <f>COMBIN(B486,D486)*C486^D486*(1-C486)^(B486-D486)</f>
        <v/>
      </c>
      <c r="G486">
        <f>G485+F486</f>
        <v/>
      </c>
    </row>
    <row r="487">
      <c r="A487" t="inlineStr">
        <is>
          <t>normal_expert_11</t>
        </is>
      </c>
      <c r="B487" t="n">
        <v>11</v>
      </c>
      <c r="C487" t="n">
        <v>0.45994886</v>
      </c>
      <c r="D487" t="n">
        <v>2</v>
      </c>
      <c r="E487">
        <f>"COMBIN("&amp;B487&amp;","&amp;D487&amp;")*"&amp;C487&amp;"^"&amp;D487&amp;"*(1-"&amp;C487&amp;")^("&amp;B487&amp;"-"&amp;D487&amp;")</f>
        <v/>
      </c>
      <c r="F487">
        <f>COMBIN(B487,D487)*C487^D487*(1-C487)^(B487-D487)</f>
        <v/>
      </c>
      <c r="G487">
        <f>G486+F487</f>
        <v/>
      </c>
    </row>
    <row r="488">
      <c r="A488" t="inlineStr">
        <is>
          <t>normal_expert_11</t>
        </is>
      </c>
      <c r="B488" t="n">
        <v>11</v>
      </c>
      <c r="C488" t="n">
        <v>0.45994886</v>
      </c>
      <c r="D488" t="n">
        <v>3</v>
      </c>
      <c r="E488">
        <f>"COMBIN("&amp;B488&amp;","&amp;D488&amp;")*"&amp;C488&amp;"^"&amp;D488&amp;"*(1-"&amp;C488&amp;")^("&amp;B488&amp;"-"&amp;D488&amp;")</f>
        <v/>
      </c>
      <c r="F488">
        <f>COMBIN(B488,D488)*C488^D488*(1-C488)^(B488-D488)</f>
        <v/>
      </c>
      <c r="G488">
        <f>G487+F488</f>
        <v/>
      </c>
    </row>
    <row r="489">
      <c r="A489" t="inlineStr">
        <is>
          <t>normal_expert_11</t>
        </is>
      </c>
      <c r="B489" t="n">
        <v>11</v>
      </c>
      <c r="C489" t="n">
        <v>0.45994886</v>
      </c>
      <c r="D489" t="n">
        <v>4</v>
      </c>
      <c r="E489">
        <f>"COMBIN("&amp;B489&amp;","&amp;D489&amp;")*"&amp;C489&amp;"^"&amp;D489&amp;"*(1-"&amp;C489&amp;")^("&amp;B489&amp;"-"&amp;D489&amp;")</f>
        <v/>
      </c>
      <c r="F489">
        <f>COMBIN(B489,D489)*C489^D489*(1-C489)^(B489-D489)</f>
        <v/>
      </c>
      <c r="G489">
        <f>G488+F489</f>
        <v/>
      </c>
    </row>
    <row r="490">
      <c r="A490" t="inlineStr">
        <is>
          <t>normal_expert_11</t>
        </is>
      </c>
      <c r="B490" t="n">
        <v>11</v>
      </c>
      <c r="C490" t="n">
        <v>0.45994886</v>
      </c>
      <c r="D490" t="n">
        <v>5</v>
      </c>
      <c r="E490">
        <f>"COMBIN("&amp;B490&amp;","&amp;D490&amp;")*"&amp;C490&amp;"^"&amp;D490&amp;"*(1-"&amp;C490&amp;")^("&amp;B490&amp;"-"&amp;D490&amp;")</f>
        <v/>
      </c>
      <c r="F490">
        <f>COMBIN(B490,D490)*C490^D490*(1-C490)^(B490-D490)</f>
        <v/>
      </c>
      <c r="G490">
        <f>G489+F490</f>
        <v/>
      </c>
    </row>
    <row r="491">
      <c r="A491" t="inlineStr">
        <is>
          <t>normal_expert_11</t>
        </is>
      </c>
      <c r="B491" t="n">
        <v>11</v>
      </c>
      <c r="C491" t="n">
        <v>0.45994886</v>
      </c>
      <c r="D491" t="n">
        <v>6</v>
      </c>
      <c r="E491">
        <f>"COMBIN("&amp;B491&amp;","&amp;D491&amp;")*"&amp;C491&amp;"^"&amp;D491&amp;"*(1-"&amp;C491&amp;")^("&amp;B491&amp;"-"&amp;D491&amp;")</f>
        <v/>
      </c>
      <c r="F491">
        <f>COMBIN(B491,D491)*C491^D491*(1-C491)^(B491-D491)</f>
        <v/>
      </c>
      <c r="G491">
        <f>G490+F491</f>
        <v/>
      </c>
    </row>
    <row r="492">
      <c r="A492" t="inlineStr">
        <is>
          <t>normal_expert_11</t>
        </is>
      </c>
      <c r="B492" t="n">
        <v>11</v>
      </c>
      <c r="C492" t="n">
        <v>0.45994886</v>
      </c>
      <c r="D492" t="n">
        <v>7</v>
      </c>
      <c r="E492">
        <f>"COMBIN("&amp;B492&amp;","&amp;D492&amp;")*"&amp;C492&amp;"^"&amp;D492&amp;"*(1-"&amp;C492&amp;")^("&amp;B492&amp;"-"&amp;D492&amp;")</f>
        <v/>
      </c>
      <c r="F492">
        <f>COMBIN(B492,D492)*C492^D492*(1-C492)^(B492-D492)</f>
        <v/>
      </c>
      <c r="G492">
        <f>G491+F492</f>
        <v/>
      </c>
    </row>
    <row r="493">
      <c r="A493" t="inlineStr">
        <is>
          <t>normal_expert_11</t>
        </is>
      </c>
      <c r="B493" t="n">
        <v>11</v>
      </c>
      <c r="C493" t="n">
        <v>0.45994886</v>
      </c>
      <c r="D493" t="n">
        <v>8</v>
      </c>
      <c r="E493">
        <f>"COMBIN("&amp;B493&amp;","&amp;D493&amp;")*"&amp;C493&amp;"^"&amp;D493&amp;"*(1-"&amp;C493&amp;")^("&amp;B493&amp;"-"&amp;D493&amp;")</f>
        <v/>
      </c>
      <c r="F493">
        <f>COMBIN(B493,D493)*C493^D493*(1-C493)^(B493-D493)</f>
        <v/>
      </c>
      <c r="G493">
        <f>G492+F493</f>
        <v/>
      </c>
    </row>
    <row r="494">
      <c r="A494" t="inlineStr">
        <is>
          <t>normal_expert_11</t>
        </is>
      </c>
      <c r="B494" t="n">
        <v>11</v>
      </c>
      <c r="C494" t="n">
        <v>0.45994886</v>
      </c>
      <c r="D494" t="n">
        <v>9</v>
      </c>
      <c r="E494">
        <f>"COMBIN("&amp;B494&amp;","&amp;D494&amp;")*"&amp;C494&amp;"^"&amp;D494&amp;"*(1-"&amp;C494&amp;")^("&amp;B494&amp;"-"&amp;D494&amp;")</f>
        <v/>
      </c>
      <c r="F494">
        <f>COMBIN(B494,D494)*C494^D494*(1-C494)^(B494-D494)</f>
        <v/>
      </c>
      <c r="G494">
        <f>G493+F494</f>
        <v/>
      </c>
    </row>
    <row r="495">
      <c r="A495" t="inlineStr">
        <is>
          <t>normal_expert_11</t>
        </is>
      </c>
      <c r="B495" t="n">
        <v>11</v>
      </c>
      <c r="C495" t="n">
        <v>0.45994886</v>
      </c>
      <c r="D495" t="n">
        <v>10</v>
      </c>
      <c r="E495">
        <f>"COMBIN("&amp;B495&amp;","&amp;D495&amp;")*"&amp;C495&amp;"^"&amp;D495&amp;"*(1-"&amp;C495&amp;")^("&amp;B495&amp;"-"&amp;D495&amp;")</f>
        <v/>
      </c>
      <c r="F495">
        <f>COMBIN(B495,D495)*C495^D495*(1-C495)^(B495-D495)</f>
        <v/>
      </c>
      <c r="G495">
        <f>G494+F495</f>
        <v/>
      </c>
    </row>
    <row r="496">
      <c r="A496" t="inlineStr">
        <is>
          <t>normal_expert_11</t>
        </is>
      </c>
      <c r="B496" t="n">
        <v>11</v>
      </c>
      <c r="C496" t="n">
        <v>0.45994886</v>
      </c>
      <c r="D496" t="n">
        <v>11</v>
      </c>
      <c r="E496">
        <f>"COMBIN("&amp;B496&amp;","&amp;D496&amp;")*"&amp;C496&amp;"^"&amp;D496&amp;"*(1-"&amp;C496&amp;")^("&amp;B496&amp;"-"&amp;D496&amp;")</f>
        <v/>
      </c>
      <c r="F496">
        <f>COMBIN(B496,D496)*C496^D496*(1-C496)^(B496-D496)</f>
        <v/>
      </c>
      <c r="G496">
        <f>G495+F496</f>
        <v/>
      </c>
    </row>
    <row r="497">
      <c r="A497" t="inlineStr">
        <is>
          <t>normal_expert_12</t>
        </is>
      </c>
      <c r="B497" t="n">
        <v>12</v>
      </c>
      <c r="C497" t="n">
        <v>0.43644835</v>
      </c>
      <c r="D497" t="n">
        <v>0</v>
      </c>
      <c r="E497">
        <f>"COMBIN("&amp;B497&amp;","&amp;D497&amp;")*"&amp;C497&amp;"^"&amp;D497&amp;"*(1-"&amp;C497&amp;")^("&amp;B497&amp;"-"&amp;D497&amp;")</f>
        <v/>
      </c>
      <c r="F497">
        <f>COMBIN(B497,D497)*C497^D497*(1-C497)^(B497-D497)</f>
        <v/>
      </c>
      <c r="G497">
        <f>F497</f>
        <v/>
      </c>
      <c r="H497">
        <f>SUM(F497:F509)</f>
        <v/>
      </c>
    </row>
    <row r="498">
      <c r="A498" t="inlineStr">
        <is>
          <t>normal_expert_12</t>
        </is>
      </c>
      <c r="B498" t="n">
        <v>12</v>
      </c>
      <c r="C498" t="n">
        <v>0.43644835</v>
      </c>
      <c r="D498" t="n">
        <v>1</v>
      </c>
      <c r="E498">
        <f>"COMBIN("&amp;B498&amp;","&amp;D498&amp;")*"&amp;C498&amp;"^"&amp;D498&amp;"*(1-"&amp;C498&amp;")^("&amp;B498&amp;"-"&amp;D498&amp;")</f>
        <v/>
      </c>
      <c r="F498">
        <f>COMBIN(B498,D498)*C498^D498*(1-C498)^(B498-D498)</f>
        <v/>
      </c>
      <c r="G498">
        <f>G497+F498</f>
        <v/>
      </c>
    </row>
    <row r="499">
      <c r="A499" t="inlineStr">
        <is>
          <t>normal_expert_12</t>
        </is>
      </c>
      <c r="B499" t="n">
        <v>12</v>
      </c>
      <c r="C499" t="n">
        <v>0.43644835</v>
      </c>
      <c r="D499" t="n">
        <v>2</v>
      </c>
      <c r="E499">
        <f>"COMBIN("&amp;B499&amp;","&amp;D499&amp;")*"&amp;C499&amp;"^"&amp;D499&amp;"*(1-"&amp;C499&amp;")^("&amp;B499&amp;"-"&amp;D499&amp;")</f>
        <v/>
      </c>
      <c r="F499">
        <f>COMBIN(B499,D499)*C499^D499*(1-C499)^(B499-D499)</f>
        <v/>
      </c>
      <c r="G499">
        <f>G498+F499</f>
        <v/>
      </c>
    </row>
    <row r="500">
      <c r="A500" t="inlineStr">
        <is>
          <t>normal_expert_12</t>
        </is>
      </c>
      <c r="B500" t="n">
        <v>12</v>
      </c>
      <c r="C500" t="n">
        <v>0.43644835</v>
      </c>
      <c r="D500" t="n">
        <v>3</v>
      </c>
      <c r="E500">
        <f>"COMBIN("&amp;B500&amp;","&amp;D500&amp;")*"&amp;C500&amp;"^"&amp;D500&amp;"*(1-"&amp;C500&amp;")^("&amp;B500&amp;"-"&amp;D500&amp;")</f>
        <v/>
      </c>
      <c r="F500">
        <f>COMBIN(B500,D500)*C500^D500*(1-C500)^(B500-D500)</f>
        <v/>
      </c>
      <c r="G500">
        <f>G499+F500</f>
        <v/>
      </c>
    </row>
    <row r="501">
      <c r="A501" t="inlineStr">
        <is>
          <t>normal_expert_12</t>
        </is>
      </c>
      <c r="B501" t="n">
        <v>12</v>
      </c>
      <c r="C501" t="n">
        <v>0.43644835</v>
      </c>
      <c r="D501" t="n">
        <v>4</v>
      </c>
      <c r="E501">
        <f>"COMBIN("&amp;B501&amp;","&amp;D501&amp;")*"&amp;C501&amp;"^"&amp;D501&amp;"*(1-"&amp;C501&amp;")^("&amp;B501&amp;"-"&amp;D501&amp;")</f>
        <v/>
      </c>
      <c r="F501">
        <f>COMBIN(B501,D501)*C501^D501*(1-C501)^(B501-D501)</f>
        <v/>
      </c>
      <c r="G501">
        <f>G500+F501</f>
        <v/>
      </c>
    </row>
    <row r="502">
      <c r="A502" t="inlineStr">
        <is>
          <t>normal_expert_12</t>
        </is>
      </c>
      <c r="B502" t="n">
        <v>12</v>
      </c>
      <c r="C502" t="n">
        <v>0.43644835</v>
      </c>
      <c r="D502" t="n">
        <v>5</v>
      </c>
      <c r="E502">
        <f>"COMBIN("&amp;B502&amp;","&amp;D502&amp;")*"&amp;C502&amp;"^"&amp;D502&amp;"*(1-"&amp;C502&amp;")^("&amp;B502&amp;"-"&amp;D502&amp;")</f>
        <v/>
      </c>
      <c r="F502">
        <f>COMBIN(B502,D502)*C502^D502*(1-C502)^(B502-D502)</f>
        <v/>
      </c>
      <c r="G502">
        <f>G501+F502</f>
        <v/>
      </c>
    </row>
    <row r="503">
      <c r="A503" t="inlineStr">
        <is>
          <t>normal_expert_12</t>
        </is>
      </c>
      <c r="B503" t="n">
        <v>12</v>
      </c>
      <c r="C503" t="n">
        <v>0.43644835</v>
      </c>
      <c r="D503" t="n">
        <v>6</v>
      </c>
      <c r="E503">
        <f>"COMBIN("&amp;B503&amp;","&amp;D503&amp;")*"&amp;C503&amp;"^"&amp;D503&amp;"*(1-"&amp;C503&amp;")^("&amp;B503&amp;"-"&amp;D503&amp;")</f>
        <v/>
      </c>
      <c r="F503">
        <f>COMBIN(B503,D503)*C503^D503*(1-C503)^(B503-D503)</f>
        <v/>
      </c>
      <c r="G503">
        <f>G502+F503</f>
        <v/>
      </c>
    </row>
    <row r="504">
      <c r="A504" t="inlineStr">
        <is>
          <t>normal_expert_12</t>
        </is>
      </c>
      <c r="B504" t="n">
        <v>12</v>
      </c>
      <c r="C504" t="n">
        <v>0.43644835</v>
      </c>
      <c r="D504" t="n">
        <v>7</v>
      </c>
      <c r="E504">
        <f>"COMBIN("&amp;B504&amp;","&amp;D504&amp;")*"&amp;C504&amp;"^"&amp;D504&amp;"*(1-"&amp;C504&amp;")^("&amp;B504&amp;"-"&amp;D504&amp;")</f>
        <v/>
      </c>
      <c r="F504">
        <f>COMBIN(B504,D504)*C504^D504*(1-C504)^(B504-D504)</f>
        <v/>
      </c>
      <c r="G504">
        <f>G503+F504</f>
        <v/>
      </c>
    </row>
    <row r="505">
      <c r="A505" t="inlineStr">
        <is>
          <t>normal_expert_12</t>
        </is>
      </c>
      <c r="B505" t="n">
        <v>12</v>
      </c>
      <c r="C505" t="n">
        <v>0.43644835</v>
      </c>
      <c r="D505" t="n">
        <v>8</v>
      </c>
      <c r="E505">
        <f>"COMBIN("&amp;B505&amp;","&amp;D505&amp;")*"&amp;C505&amp;"^"&amp;D505&amp;"*(1-"&amp;C505&amp;")^("&amp;B505&amp;"-"&amp;D505&amp;")</f>
        <v/>
      </c>
      <c r="F505">
        <f>COMBIN(B505,D505)*C505^D505*(1-C505)^(B505-D505)</f>
        <v/>
      </c>
      <c r="G505">
        <f>G504+F505</f>
        <v/>
      </c>
    </row>
    <row r="506">
      <c r="A506" t="inlineStr">
        <is>
          <t>normal_expert_12</t>
        </is>
      </c>
      <c r="B506" t="n">
        <v>12</v>
      </c>
      <c r="C506" t="n">
        <v>0.43644835</v>
      </c>
      <c r="D506" t="n">
        <v>9</v>
      </c>
      <c r="E506">
        <f>"COMBIN("&amp;B506&amp;","&amp;D506&amp;")*"&amp;C506&amp;"^"&amp;D506&amp;"*(1-"&amp;C506&amp;")^("&amp;B506&amp;"-"&amp;D506&amp;")</f>
        <v/>
      </c>
      <c r="F506">
        <f>COMBIN(B506,D506)*C506^D506*(1-C506)^(B506-D506)</f>
        <v/>
      </c>
      <c r="G506">
        <f>G505+F506</f>
        <v/>
      </c>
    </row>
    <row r="507">
      <c r="A507" t="inlineStr">
        <is>
          <t>normal_expert_12</t>
        </is>
      </c>
      <c r="B507" t="n">
        <v>12</v>
      </c>
      <c r="C507" t="n">
        <v>0.43644835</v>
      </c>
      <c r="D507" t="n">
        <v>10</v>
      </c>
      <c r="E507">
        <f>"COMBIN("&amp;B507&amp;","&amp;D507&amp;")*"&amp;C507&amp;"^"&amp;D507&amp;"*(1-"&amp;C507&amp;")^("&amp;B507&amp;"-"&amp;D507&amp;")</f>
        <v/>
      </c>
      <c r="F507">
        <f>COMBIN(B507,D507)*C507^D507*(1-C507)^(B507-D507)</f>
        <v/>
      </c>
      <c r="G507">
        <f>G506+F507</f>
        <v/>
      </c>
    </row>
    <row r="508">
      <c r="A508" t="inlineStr">
        <is>
          <t>normal_expert_12</t>
        </is>
      </c>
      <c r="B508" t="n">
        <v>12</v>
      </c>
      <c r="C508" t="n">
        <v>0.43644835</v>
      </c>
      <c r="D508" t="n">
        <v>11</v>
      </c>
      <c r="E508">
        <f>"COMBIN("&amp;B508&amp;","&amp;D508&amp;")*"&amp;C508&amp;"^"&amp;D508&amp;"*(1-"&amp;C508&amp;")^("&amp;B508&amp;"-"&amp;D508&amp;")</f>
        <v/>
      </c>
      <c r="F508">
        <f>COMBIN(B508,D508)*C508^D508*(1-C508)^(B508-D508)</f>
        <v/>
      </c>
      <c r="G508">
        <f>G507+F508</f>
        <v/>
      </c>
    </row>
    <row r="509">
      <c r="A509" t="inlineStr">
        <is>
          <t>normal_expert_12</t>
        </is>
      </c>
      <c r="B509" t="n">
        <v>12</v>
      </c>
      <c r="C509" t="n">
        <v>0.43644835</v>
      </c>
      <c r="D509" t="n">
        <v>12</v>
      </c>
      <c r="E509">
        <f>"COMBIN("&amp;B509&amp;","&amp;D509&amp;")*"&amp;C509&amp;"^"&amp;D509&amp;"*(1-"&amp;C509&amp;")^("&amp;B509&amp;"-"&amp;D509&amp;")</f>
        <v/>
      </c>
      <c r="F509">
        <f>COMBIN(B509,D509)*C509^D509*(1-C509)^(B509-D509)</f>
        <v/>
      </c>
      <c r="G509">
        <f>G508+F509</f>
        <v/>
      </c>
    </row>
    <row r="510">
      <c r="A510" t="inlineStr">
        <is>
          <t>normal_expert_13</t>
        </is>
      </c>
      <c r="B510" t="n">
        <v>13</v>
      </c>
      <c r="C510" t="n">
        <v>0.4287234</v>
      </c>
      <c r="D510" t="n">
        <v>0</v>
      </c>
      <c r="E510">
        <f>"COMBIN("&amp;B510&amp;","&amp;D510&amp;")*"&amp;C510&amp;"^"&amp;D510&amp;"*(1-"&amp;C510&amp;")^("&amp;B510&amp;"-"&amp;D510&amp;")</f>
        <v/>
      </c>
      <c r="F510">
        <f>COMBIN(B510,D510)*C510^D510*(1-C510)^(B510-D510)</f>
        <v/>
      </c>
      <c r="G510">
        <f>F510</f>
        <v/>
      </c>
      <c r="H510">
        <f>SUM(F510:F523)</f>
        <v/>
      </c>
    </row>
    <row r="511">
      <c r="A511" t="inlineStr">
        <is>
          <t>normal_expert_13</t>
        </is>
      </c>
      <c r="B511" t="n">
        <v>13</v>
      </c>
      <c r="C511" t="n">
        <v>0.4287234</v>
      </c>
      <c r="D511" t="n">
        <v>1</v>
      </c>
      <c r="E511">
        <f>"COMBIN("&amp;B511&amp;","&amp;D511&amp;")*"&amp;C511&amp;"^"&amp;D511&amp;"*(1-"&amp;C511&amp;")^("&amp;B511&amp;"-"&amp;D511&amp;")</f>
        <v/>
      </c>
      <c r="F511">
        <f>COMBIN(B511,D511)*C511^D511*(1-C511)^(B511-D511)</f>
        <v/>
      </c>
      <c r="G511">
        <f>G510+F511</f>
        <v/>
      </c>
    </row>
    <row r="512">
      <c r="A512" t="inlineStr">
        <is>
          <t>normal_expert_13</t>
        </is>
      </c>
      <c r="B512" t="n">
        <v>13</v>
      </c>
      <c r="C512" t="n">
        <v>0.4287234</v>
      </c>
      <c r="D512" t="n">
        <v>2</v>
      </c>
      <c r="E512">
        <f>"COMBIN("&amp;B512&amp;","&amp;D512&amp;")*"&amp;C512&amp;"^"&amp;D512&amp;"*(1-"&amp;C512&amp;")^("&amp;B512&amp;"-"&amp;D512&amp;")</f>
        <v/>
      </c>
      <c r="F512">
        <f>COMBIN(B512,D512)*C512^D512*(1-C512)^(B512-D512)</f>
        <v/>
      </c>
      <c r="G512">
        <f>G511+F512</f>
        <v/>
      </c>
    </row>
    <row r="513">
      <c r="A513" t="inlineStr">
        <is>
          <t>normal_expert_13</t>
        </is>
      </c>
      <c r="B513" t="n">
        <v>13</v>
      </c>
      <c r="C513" t="n">
        <v>0.4287234</v>
      </c>
      <c r="D513" t="n">
        <v>3</v>
      </c>
      <c r="E513">
        <f>"COMBIN("&amp;B513&amp;","&amp;D513&amp;")*"&amp;C513&amp;"^"&amp;D513&amp;"*(1-"&amp;C513&amp;")^("&amp;B513&amp;"-"&amp;D513&amp;")</f>
        <v/>
      </c>
      <c r="F513">
        <f>COMBIN(B513,D513)*C513^D513*(1-C513)^(B513-D513)</f>
        <v/>
      </c>
      <c r="G513">
        <f>G512+F513</f>
        <v/>
      </c>
    </row>
    <row r="514">
      <c r="A514" t="inlineStr">
        <is>
          <t>normal_expert_13</t>
        </is>
      </c>
      <c r="B514" t="n">
        <v>13</v>
      </c>
      <c r="C514" t="n">
        <v>0.4287234</v>
      </c>
      <c r="D514" t="n">
        <v>4</v>
      </c>
      <c r="E514">
        <f>"COMBIN("&amp;B514&amp;","&amp;D514&amp;")*"&amp;C514&amp;"^"&amp;D514&amp;"*(1-"&amp;C514&amp;")^("&amp;B514&amp;"-"&amp;D514&amp;")</f>
        <v/>
      </c>
      <c r="F514">
        <f>COMBIN(B514,D514)*C514^D514*(1-C514)^(B514-D514)</f>
        <v/>
      </c>
      <c r="G514">
        <f>G513+F514</f>
        <v/>
      </c>
    </row>
    <row r="515">
      <c r="A515" t="inlineStr">
        <is>
          <t>normal_expert_13</t>
        </is>
      </c>
      <c r="B515" t="n">
        <v>13</v>
      </c>
      <c r="C515" t="n">
        <v>0.4287234</v>
      </c>
      <c r="D515" t="n">
        <v>5</v>
      </c>
      <c r="E515">
        <f>"COMBIN("&amp;B515&amp;","&amp;D515&amp;")*"&amp;C515&amp;"^"&amp;D515&amp;"*(1-"&amp;C515&amp;")^("&amp;B515&amp;"-"&amp;D515&amp;")</f>
        <v/>
      </c>
      <c r="F515">
        <f>COMBIN(B515,D515)*C515^D515*(1-C515)^(B515-D515)</f>
        <v/>
      </c>
      <c r="G515">
        <f>G514+F515</f>
        <v/>
      </c>
    </row>
    <row r="516">
      <c r="A516" t="inlineStr">
        <is>
          <t>normal_expert_13</t>
        </is>
      </c>
      <c r="B516" t="n">
        <v>13</v>
      </c>
      <c r="C516" t="n">
        <v>0.4287234</v>
      </c>
      <c r="D516" t="n">
        <v>6</v>
      </c>
      <c r="E516">
        <f>"COMBIN("&amp;B516&amp;","&amp;D516&amp;")*"&amp;C516&amp;"^"&amp;D516&amp;"*(1-"&amp;C516&amp;")^("&amp;B516&amp;"-"&amp;D516&amp;")</f>
        <v/>
      </c>
      <c r="F516">
        <f>COMBIN(B516,D516)*C516^D516*(1-C516)^(B516-D516)</f>
        <v/>
      </c>
      <c r="G516">
        <f>G515+F516</f>
        <v/>
      </c>
    </row>
    <row r="517">
      <c r="A517" t="inlineStr">
        <is>
          <t>normal_expert_13</t>
        </is>
      </c>
      <c r="B517" t="n">
        <v>13</v>
      </c>
      <c r="C517" t="n">
        <v>0.4287234</v>
      </c>
      <c r="D517" t="n">
        <v>7</v>
      </c>
      <c r="E517">
        <f>"COMBIN("&amp;B517&amp;","&amp;D517&amp;")*"&amp;C517&amp;"^"&amp;D517&amp;"*(1-"&amp;C517&amp;")^("&amp;B517&amp;"-"&amp;D517&amp;")</f>
        <v/>
      </c>
      <c r="F517">
        <f>COMBIN(B517,D517)*C517^D517*(1-C517)^(B517-D517)</f>
        <v/>
      </c>
      <c r="G517">
        <f>G516+F517</f>
        <v/>
      </c>
    </row>
    <row r="518">
      <c r="A518" t="inlineStr">
        <is>
          <t>normal_expert_13</t>
        </is>
      </c>
      <c r="B518" t="n">
        <v>13</v>
      </c>
      <c r="C518" t="n">
        <v>0.4287234</v>
      </c>
      <c r="D518" t="n">
        <v>8</v>
      </c>
      <c r="E518">
        <f>"COMBIN("&amp;B518&amp;","&amp;D518&amp;")*"&amp;C518&amp;"^"&amp;D518&amp;"*(1-"&amp;C518&amp;")^("&amp;B518&amp;"-"&amp;D518&amp;")</f>
        <v/>
      </c>
      <c r="F518">
        <f>COMBIN(B518,D518)*C518^D518*(1-C518)^(B518-D518)</f>
        <v/>
      </c>
      <c r="G518">
        <f>G517+F518</f>
        <v/>
      </c>
    </row>
    <row r="519">
      <c r="A519" t="inlineStr">
        <is>
          <t>normal_expert_13</t>
        </is>
      </c>
      <c r="B519" t="n">
        <v>13</v>
      </c>
      <c r="C519" t="n">
        <v>0.4287234</v>
      </c>
      <c r="D519" t="n">
        <v>9</v>
      </c>
      <c r="E519">
        <f>"COMBIN("&amp;B519&amp;","&amp;D519&amp;")*"&amp;C519&amp;"^"&amp;D519&amp;"*(1-"&amp;C519&amp;")^("&amp;B519&amp;"-"&amp;D519&amp;")</f>
        <v/>
      </c>
      <c r="F519">
        <f>COMBIN(B519,D519)*C519^D519*(1-C519)^(B519-D519)</f>
        <v/>
      </c>
      <c r="G519">
        <f>G518+F519</f>
        <v/>
      </c>
    </row>
    <row r="520">
      <c r="A520" t="inlineStr">
        <is>
          <t>normal_expert_13</t>
        </is>
      </c>
      <c r="B520" t="n">
        <v>13</v>
      </c>
      <c r="C520" t="n">
        <v>0.4287234</v>
      </c>
      <c r="D520" t="n">
        <v>10</v>
      </c>
      <c r="E520">
        <f>"COMBIN("&amp;B520&amp;","&amp;D520&amp;")*"&amp;C520&amp;"^"&amp;D520&amp;"*(1-"&amp;C520&amp;")^("&amp;B520&amp;"-"&amp;D520&amp;")</f>
        <v/>
      </c>
      <c r="F520">
        <f>COMBIN(B520,D520)*C520^D520*(1-C520)^(B520-D520)</f>
        <v/>
      </c>
      <c r="G520">
        <f>G519+F520</f>
        <v/>
      </c>
    </row>
    <row r="521">
      <c r="A521" t="inlineStr">
        <is>
          <t>normal_expert_13</t>
        </is>
      </c>
      <c r="B521" t="n">
        <v>13</v>
      </c>
      <c r="C521" t="n">
        <v>0.4287234</v>
      </c>
      <c r="D521" t="n">
        <v>11</v>
      </c>
      <c r="E521">
        <f>"COMBIN("&amp;B521&amp;","&amp;D521&amp;")*"&amp;C521&amp;"^"&amp;D521&amp;"*(1-"&amp;C521&amp;")^("&amp;B521&amp;"-"&amp;D521&amp;")</f>
        <v/>
      </c>
      <c r="F521">
        <f>COMBIN(B521,D521)*C521^D521*(1-C521)^(B521-D521)</f>
        <v/>
      </c>
      <c r="G521">
        <f>G520+F521</f>
        <v/>
      </c>
    </row>
    <row r="522">
      <c r="A522" t="inlineStr">
        <is>
          <t>normal_expert_13</t>
        </is>
      </c>
      <c r="B522" t="n">
        <v>13</v>
      </c>
      <c r="C522" t="n">
        <v>0.4287234</v>
      </c>
      <c r="D522" t="n">
        <v>12</v>
      </c>
      <c r="E522">
        <f>"COMBIN("&amp;B522&amp;","&amp;D522&amp;")*"&amp;C522&amp;"^"&amp;D522&amp;"*(1-"&amp;C522&amp;")^("&amp;B522&amp;"-"&amp;D522&amp;")</f>
        <v/>
      </c>
      <c r="F522">
        <f>COMBIN(B522,D522)*C522^D522*(1-C522)^(B522-D522)</f>
        <v/>
      </c>
      <c r="G522">
        <f>G521+F522</f>
        <v/>
      </c>
    </row>
    <row r="523">
      <c r="A523" t="inlineStr">
        <is>
          <t>normal_expert_13</t>
        </is>
      </c>
      <c r="B523" t="n">
        <v>13</v>
      </c>
      <c r="C523" t="n">
        <v>0.4287234</v>
      </c>
      <c r="D523" t="n">
        <v>13</v>
      </c>
      <c r="E523">
        <f>"COMBIN("&amp;B523&amp;","&amp;D523&amp;")*"&amp;C523&amp;"^"&amp;D523&amp;"*(1-"&amp;C523&amp;")^("&amp;B523&amp;"-"&amp;D523&amp;")</f>
        <v/>
      </c>
      <c r="F523">
        <f>COMBIN(B523,D523)*C523^D523*(1-C523)^(B523-D523)</f>
        <v/>
      </c>
      <c r="G523">
        <f>G522+F523</f>
        <v/>
      </c>
    </row>
    <row r="524">
      <c r="A524" t="inlineStr">
        <is>
          <t>normal_expert_14</t>
        </is>
      </c>
      <c r="B524" t="n">
        <v>14</v>
      </c>
      <c r="C524" t="n">
        <v>0.39694563</v>
      </c>
      <c r="D524" t="n">
        <v>0</v>
      </c>
      <c r="E524">
        <f>"COMBIN("&amp;B524&amp;","&amp;D524&amp;")*"&amp;C524&amp;"^"&amp;D524&amp;"*(1-"&amp;C524&amp;")^("&amp;B524&amp;"-"&amp;D524&amp;")</f>
        <v/>
      </c>
      <c r="F524">
        <f>COMBIN(B524,D524)*C524^D524*(1-C524)^(B524-D524)</f>
        <v/>
      </c>
      <c r="G524">
        <f>F524</f>
        <v/>
      </c>
      <c r="H524">
        <f>SUM(F524:F538)</f>
        <v/>
      </c>
    </row>
    <row r="525">
      <c r="A525" t="inlineStr">
        <is>
          <t>normal_expert_14</t>
        </is>
      </c>
      <c r="B525" t="n">
        <v>14</v>
      </c>
      <c r="C525" t="n">
        <v>0.39694563</v>
      </c>
      <c r="D525" t="n">
        <v>1</v>
      </c>
      <c r="E525">
        <f>"COMBIN("&amp;B525&amp;","&amp;D525&amp;")*"&amp;C525&amp;"^"&amp;D525&amp;"*(1-"&amp;C525&amp;")^("&amp;B525&amp;"-"&amp;D525&amp;")</f>
        <v/>
      </c>
      <c r="F525">
        <f>COMBIN(B525,D525)*C525^D525*(1-C525)^(B525-D525)</f>
        <v/>
      </c>
      <c r="G525">
        <f>G524+F525</f>
        <v/>
      </c>
    </row>
    <row r="526">
      <c r="A526" t="inlineStr">
        <is>
          <t>normal_expert_14</t>
        </is>
      </c>
      <c r="B526" t="n">
        <v>14</v>
      </c>
      <c r="C526" t="n">
        <v>0.39694563</v>
      </c>
      <c r="D526" t="n">
        <v>2</v>
      </c>
      <c r="E526">
        <f>"COMBIN("&amp;B526&amp;","&amp;D526&amp;")*"&amp;C526&amp;"^"&amp;D526&amp;"*(1-"&amp;C526&amp;")^("&amp;B526&amp;"-"&amp;D526&amp;")</f>
        <v/>
      </c>
      <c r="F526">
        <f>COMBIN(B526,D526)*C526^D526*(1-C526)^(B526-D526)</f>
        <v/>
      </c>
      <c r="G526">
        <f>G525+F526</f>
        <v/>
      </c>
    </row>
    <row r="527">
      <c r="A527" t="inlineStr">
        <is>
          <t>normal_expert_14</t>
        </is>
      </c>
      <c r="B527" t="n">
        <v>14</v>
      </c>
      <c r="C527" t="n">
        <v>0.39694563</v>
      </c>
      <c r="D527" t="n">
        <v>3</v>
      </c>
      <c r="E527">
        <f>"COMBIN("&amp;B527&amp;","&amp;D527&amp;")*"&amp;C527&amp;"^"&amp;D527&amp;"*(1-"&amp;C527&amp;")^("&amp;B527&amp;"-"&amp;D527&amp;")</f>
        <v/>
      </c>
      <c r="F527">
        <f>COMBIN(B527,D527)*C527^D527*(1-C527)^(B527-D527)</f>
        <v/>
      </c>
      <c r="G527">
        <f>G526+F527</f>
        <v/>
      </c>
    </row>
    <row r="528">
      <c r="A528" t="inlineStr">
        <is>
          <t>normal_expert_14</t>
        </is>
      </c>
      <c r="B528" t="n">
        <v>14</v>
      </c>
      <c r="C528" t="n">
        <v>0.39694563</v>
      </c>
      <c r="D528" t="n">
        <v>4</v>
      </c>
      <c r="E528">
        <f>"COMBIN("&amp;B528&amp;","&amp;D528&amp;")*"&amp;C528&amp;"^"&amp;D528&amp;"*(1-"&amp;C528&amp;")^("&amp;B528&amp;"-"&amp;D528&amp;")</f>
        <v/>
      </c>
      <c r="F528">
        <f>COMBIN(B528,D528)*C528^D528*(1-C528)^(B528-D528)</f>
        <v/>
      </c>
      <c r="G528">
        <f>G527+F528</f>
        <v/>
      </c>
    </row>
    <row r="529">
      <c r="A529" t="inlineStr">
        <is>
          <t>normal_expert_14</t>
        </is>
      </c>
      <c r="B529" t="n">
        <v>14</v>
      </c>
      <c r="C529" t="n">
        <v>0.39694563</v>
      </c>
      <c r="D529" t="n">
        <v>5</v>
      </c>
      <c r="E529">
        <f>"COMBIN("&amp;B529&amp;","&amp;D529&amp;")*"&amp;C529&amp;"^"&amp;D529&amp;"*(1-"&amp;C529&amp;")^("&amp;B529&amp;"-"&amp;D529&amp;")</f>
        <v/>
      </c>
      <c r="F529">
        <f>COMBIN(B529,D529)*C529^D529*(1-C529)^(B529-D529)</f>
        <v/>
      </c>
      <c r="G529">
        <f>G528+F529</f>
        <v/>
      </c>
    </row>
    <row r="530">
      <c r="A530" t="inlineStr">
        <is>
          <t>normal_expert_14</t>
        </is>
      </c>
      <c r="B530" t="n">
        <v>14</v>
      </c>
      <c r="C530" t="n">
        <v>0.39694563</v>
      </c>
      <c r="D530" t="n">
        <v>6</v>
      </c>
      <c r="E530">
        <f>"COMBIN("&amp;B530&amp;","&amp;D530&amp;")*"&amp;C530&amp;"^"&amp;D530&amp;"*(1-"&amp;C530&amp;")^("&amp;B530&amp;"-"&amp;D530&amp;")</f>
        <v/>
      </c>
      <c r="F530">
        <f>COMBIN(B530,D530)*C530^D530*(1-C530)^(B530-D530)</f>
        <v/>
      </c>
      <c r="G530">
        <f>G529+F530</f>
        <v/>
      </c>
    </row>
    <row r="531">
      <c r="A531" t="inlineStr">
        <is>
          <t>normal_expert_14</t>
        </is>
      </c>
      <c r="B531" t="n">
        <v>14</v>
      </c>
      <c r="C531" t="n">
        <v>0.39694563</v>
      </c>
      <c r="D531" t="n">
        <v>7</v>
      </c>
      <c r="E531">
        <f>"COMBIN("&amp;B531&amp;","&amp;D531&amp;")*"&amp;C531&amp;"^"&amp;D531&amp;"*(1-"&amp;C531&amp;")^("&amp;B531&amp;"-"&amp;D531&amp;")</f>
        <v/>
      </c>
      <c r="F531">
        <f>COMBIN(B531,D531)*C531^D531*(1-C531)^(B531-D531)</f>
        <v/>
      </c>
      <c r="G531">
        <f>G530+F531</f>
        <v/>
      </c>
    </row>
    <row r="532">
      <c r="A532" t="inlineStr">
        <is>
          <t>normal_expert_14</t>
        </is>
      </c>
      <c r="B532" t="n">
        <v>14</v>
      </c>
      <c r="C532" t="n">
        <v>0.39694563</v>
      </c>
      <c r="D532" t="n">
        <v>8</v>
      </c>
      <c r="E532">
        <f>"COMBIN("&amp;B532&amp;","&amp;D532&amp;")*"&amp;C532&amp;"^"&amp;D532&amp;"*(1-"&amp;C532&amp;")^("&amp;B532&amp;"-"&amp;D532&amp;")</f>
        <v/>
      </c>
      <c r="F532">
        <f>COMBIN(B532,D532)*C532^D532*(1-C532)^(B532-D532)</f>
        <v/>
      </c>
      <c r="G532">
        <f>G531+F532</f>
        <v/>
      </c>
    </row>
    <row r="533">
      <c r="A533" t="inlineStr">
        <is>
          <t>normal_expert_14</t>
        </is>
      </c>
      <c r="B533" t="n">
        <v>14</v>
      </c>
      <c r="C533" t="n">
        <v>0.39694563</v>
      </c>
      <c r="D533" t="n">
        <v>9</v>
      </c>
      <c r="E533">
        <f>"COMBIN("&amp;B533&amp;","&amp;D533&amp;")*"&amp;C533&amp;"^"&amp;D533&amp;"*(1-"&amp;C533&amp;")^("&amp;B533&amp;"-"&amp;D533&amp;")</f>
        <v/>
      </c>
      <c r="F533">
        <f>COMBIN(B533,D533)*C533^D533*(1-C533)^(B533-D533)</f>
        <v/>
      </c>
      <c r="G533">
        <f>G532+F533</f>
        <v/>
      </c>
    </row>
    <row r="534">
      <c r="A534" t="inlineStr">
        <is>
          <t>normal_expert_14</t>
        </is>
      </c>
      <c r="B534" t="n">
        <v>14</v>
      </c>
      <c r="C534" t="n">
        <v>0.39694563</v>
      </c>
      <c r="D534" t="n">
        <v>10</v>
      </c>
      <c r="E534">
        <f>"COMBIN("&amp;B534&amp;","&amp;D534&amp;")*"&amp;C534&amp;"^"&amp;D534&amp;"*(1-"&amp;C534&amp;")^("&amp;B534&amp;"-"&amp;D534&amp;")</f>
        <v/>
      </c>
      <c r="F534">
        <f>COMBIN(B534,D534)*C534^D534*(1-C534)^(B534-D534)</f>
        <v/>
      </c>
      <c r="G534">
        <f>G533+F534</f>
        <v/>
      </c>
    </row>
    <row r="535">
      <c r="A535" t="inlineStr">
        <is>
          <t>normal_expert_14</t>
        </is>
      </c>
      <c r="B535" t="n">
        <v>14</v>
      </c>
      <c r="C535" t="n">
        <v>0.39694563</v>
      </c>
      <c r="D535" t="n">
        <v>11</v>
      </c>
      <c r="E535">
        <f>"COMBIN("&amp;B535&amp;","&amp;D535&amp;")*"&amp;C535&amp;"^"&amp;D535&amp;"*(1-"&amp;C535&amp;")^("&amp;B535&amp;"-"&amp;D535&amp;")</f>
        <v/>
      </c>
      <c r="F535">
        <f>COMBIN(B535,D535)*C535^D535*(1-C535)^(B535-D535)</f>
        <v/>
      </c>
      <c r="G535">
        <f>G534+F535</f>
        <v/>
      </c>
    </row>
    <row r="536">
      <c r="A536" t="inlineStr">
        <is>
          <t>normal_expert_14</t>
        </is>
      </c>
      <c r="B536" t="n">
        <v>14</v>
      </c>
      <c r="C536" t="n">
        <v>0.39694563</v>
      </c>
      <c r="D536" t="n">
        <v>12</v>
      </c>
      <c r="E536">
        <f>"COMBIN("&amp;B536&amp;","&amp;D536&amp;")*"&amp;C536&amp;"^"&amp;D536&amp;"*(1-"&amp;C536&amp;")^("&amp;B536&amp;"-"&amp;D536&amp;")</f>
        <v/>
      </c>
      <c r="F536">
        <f>COMBIN(B536,D536)*C536^D536*(1-C536)^(B536-D536)</f>
        <v/>
      </c>
      <c r="G536">
        <f>G535+F536</f>
        <v/>
      </c>
    </row>
    <row r="537">
      <c r="A537" t="inlineStr">
        <is>
          <t>normal_expert_14</t>
        </is>
      </c>
      <c r="B537" t="n">
        <v>14</v>
      </c>
      <c r="C537" t="n">
        <v>0.39694563</v>
      </c>
      <c r="D537" t="n">
        <v>13</v>
      </c>
      <c r="E537">
        <f>"COMBIN("&amp;B537&amp;","&amp;D537&amp;")*"&amp;C537&amp;"^"&amp;D537&amp;"*(1-"&amp;C537&amp;")^("&amp;B537&amp;"-"&amp;D537&amp;")</f>
        <v/>
      </c>
      <c r="F537">
        <f>COMBIN(B537,D537)*C537^D537*(1-C537)^(B537-D537)</f>
        <v/>
      </c>
      <c r="G537">
        <f>G536+F537</f>
        <v/>
      </c>
    </row>
    <row r="538">
      <c r="A538" t="inlineStr">
        <is>
          <t>normal_expert_14</t>
        </is>
      </c>
      <c r="B538" t="n">
        <v>14</v>
      </c>
      <c r="C538" t="n">
        <v>0.39694563</v>
      </c>
      <c r="D538" t="n">
        <v>14</v>
      </c>
      <c r="E538">
        <f>"COMBIN("&amp;B538&amp;","&amp;D538&amp;")*"&amp;C538&amp;"^"&amp;D538&amp;"*(1-"&amp;C538&amp;")^("&amp;B538&amp;"-"&amp;D538&amp;")</f>
        <v/>
      </c>
      <c r="F538">
        <f>COMBIN(B538,D538)*C538^D538*(1-C538)^(B538-D538)</f>
        <v/>
      </c>
      <c r="G538">
        <f>G537+F538</f>
        <v/>
      </c>
    </row>
    <row r="539">
      <c r="A539" t="inlineStr">
        <is>
          <t>normal_expert_15</t>
        </is>
      </c>
      <c r="B539" t="n">
        <v>15</v>
      </c>
      <c r="C539" t="n">
        <v>0.37244886</v>
      </c>
      <c r="D539" t="n">
        <v>0</v>
      </c>
      <c r="E539">
        <f>"COMBIN("&amp;B539&amp;","&amp;D539&amp;")*"&amp;C539&amp;"^"&amp;D539&amp;"*(1-"&amp;C539&amp;")^("&amp;B539&amp;"-"&amp;D539&amp;")</f>
        <v/>
      </c>
      <c r="F539">
        <f>COMBIN(B539,D539)*C539^D539*(1-C539)^(B539-D539)</f>
        <v/>
      </c>
      <c r="G539">
        <f>F539</f>
        <v/>
      </c>
      <c r="H539">
        <f>SUM(F539:F554)</f>
        <v/>
      </c>
    </row>
    <row r="540">
      <c r="A540" t="inlineStr">
        <is>
          <t>normal_expert_15</t>
        </is>
      </c>
      <c r="B540" t="n">
        <v>15</v>
      </c>
      <c r="C540" t="n">
        <v>0.37244886</v>
      </c>
      <c r="D540" t="n">
        <v>1</v>
      </c>
      <c r="E540">
        <f>"COMBIN("&amp;B540&amp;","&amp;D540&amp;")*"&amp;C540&amp;"^"&amp;D540&amp;"*(1-"&amp;C540&amp;")^("&amp;B540&amp;"-"&amp;D540&amp;")</f>
        <v/>
      </c>
      <c r="F540">
        <f>COMBIN(B540,D540)*C540^D540*(1-C540)^(B540-D540)</f>
        <v/>
      </c>
      <c r="G540">
        <f>G539+F540</f>
        <v/>
      </c>
    </row>
    <row r="541">
      <c r="A541" t="inlineStr">
        <is>
          <t>normal_expert_15</t>
        </is>
      </c>
      <c r="B541" t="n">
        <v>15</v>
      </c>
      <c r="C541" t="n">
        <v>0.37244886</v>
      </c>
      <c r="D541" t="n">
        <v>2</v>
      </c>
      <c r="E541">
        <f>"COMBIN("&amp;B541&amp;","&amp;D541&amp;")*"&amp;C541&amp;"^"&amp;D541&amp;"*(1-"&amp;C541&amp;")^("&amp;B541&amp;"-"&amp;D541&amp;")</f>
        <v/>
      </c>
      <c r="F541">
        <f>COMBIN(B541,D541)*C541^D541*(1-C541)^(B541-D541)</f>
        <v/>
      </c>
      <c r="G541">
        <f>G540+F541</f>
        <v/>
      </c>
    </row>
    <row r="542">
      <c r="A542" t="inlineStr">
        <is>
          <t>normal_expert_15</t>
        </is>
      </c>
      <c r="B542" t="n">
        <v>15</v>
      </c>
      <c r="C542" t="n">
        <v>0.37244886</v>
      </c>
      <c r="D542" t="n">
        <v>3</v>
      </c>
      <c r="E542">
        <f>"COMBIN("&amp;B542&amp;","&amp;D542&amp;")*"&amp;C542&amp;"^"&amp;D542&amp;"*(1-"&amp;C542&amp;")^("&amp;B542&amp;"-"&amp;D542&amp;")</f>
        <v/>
      </c>
      <c r="F542">
        <f>COMBIN(B542,D542)*C542^D542*(1-C542)^(B542-D542)</f>
        <v/>
      </c>
      <c r="G542">
        <f>G541+F542</f>
        <v/>
      </c>
    </row>
    <row r="543">
      <c r="A543" t="inlineStr">
        <is>
          <t>normal_expert_15</t>
        </is>
      </c>
      <c r="B543" t="n">
        <v>15</v>
      </c>
      <c r="C543" t="n">
        <v>0.37244886</v>
      </c>
      <c r="D543" t="n">
        <v>4</v>
      </c>
      <c r="E543">
        <f>"COMBIN("&amp;B543&amp;","&amp;D543&amp;")*"&amp;C543&amp;"^"&amp;D543&amp;"*(1-"&amp;C543&amp;")^("&amp;B543&amp;"-"&amp;D543&amp;")</f>
        <v/>
      </c>
      <c r="F543">
        <f>COMBIN(B543,D543)*C543^D543*(1-C543)^(B543-D543)</f>
        <v/>
      </c>
      <c r="G543">
        <f>G542+F543</f>
        <v/>
      </c>
    </row>
    <row r="544">
      <c r="A544" t="inlineStr">
        <is>
          <t>normal_expert_15</t>
        </is>
      </c>
      <c r="B544" t="n">
        <v>15</v>
      </c>
      <c r="C544" t="n">
        <v>0.37244886</v>
      </c>
      <c r="D544" t="n">
        <v>5</v>
      </c>
      <c r="E544">
        <f>"COMBIN("&amp;B544&amp;","&amp;D544&amp;")*"&amp;C544&amp;"^"&amp;D544&amp;"*(1-"&amp;C544&amp;")^("&amp;B544&amp;"-"&amp;D544&amp;")</f>
        <v/>
      </c>
      <c r="F544">
        <f>COMBIN(B544,D544)*C544^D544*(1-C544)^(B544-D544)</f>
        <v/>
      </c>
      <c r="G544">
        <f>G543+F544</f>
        <v/>
      </c>
    </row>
    <row r="545">
      <c r="A545" t="inlineStr">
        <is>
          <t>normal_expert_15</t>
        </is>
      </c>
      <c r="B545" t="n">
        <v>15</v>
      </c>
      <c r="C545" t="n">
        <v>0.37244886</v>
      </c>
      <c r="D545" t="n">
        <v>6</v>
      </c>
      <c r="E545">
        <f>"COMBIN("&amp;B545&amp;","&amp;D545&amp;")*"&amp;C545&amp;"^"&amp;D545&amp;"*(1-"&amp;C545&amp;")^("&amp;B545&amp;"-"&amp;D545&amp;")</f>
        <v/>
      </c>
      <c r="F545">
        <f>COMBIN(B545,D545)*C545^D545*(1-C545)^(B545-D545)</f>
        <v/>
      </c>
      <c r="G545">
        <f>G544+F545</f>
        <v/>
      </c>
    </row>
    <row r="546">
      <c r="A546" t="inlineStr">
        <is>
          <t>normal_expert_15</t>
        </is>
      </c>
      <c r="B546" t="n">
        <v>15</v>
      </c>
      <c r="C546" t="n">
        <v>0.37244886</v>
      </c>
      <c r="D546" t="n">
        <v>7</v>
      </c>
      <c r="E546">
        <f>"COMBIN("&amp;B546&amp;","&amp;D546&amp;")*"&amp;C546&amp;"^"&amp;D546&amp;"*(1-"&amp;C546&amp;")^("&amp;B546&amp;"-"&amp;D546&amp;")</f>
        <v/>
      </c>
      <c r="F546">
        <f>COMBIN(B546,D546)*C546^D546*(1-C546)^(B546-D546)</f>
        <v/>
      </c>
      <c r="G546">
        <f>G545+F546</f>
        <v/>
      </c>
    </row>
    <row r="547">
      <c r="A547" t="inlineStr">
        <is>
          <t>normal_expert_15</t>
        </is>
      </c>
      <c r="B547" t="n">
        <v>15</v>
      </c>
      <c r="C547" t="n">
        <v>0.37244886</v>
      </c>
      <c r="D547" t="n">
        <v>8</v>
      </c>
      <c r="E547">
        <f>"COMBIN("&amp;B547&amp;","&amp;D547&amp;")*"&amp;C547&amp;"^"&amp;D547&amp;"*(1-"&amp;C547&amp;")^("&amp;B547&amp;"-"&amp;D547&amp;")</f>
        <v/>
      </c>
      <c r="F547">
        <f>COMBIN(B547,D547)*C547^D547*(1-C547)^(B547-D547)</f>
        <v/>
      </c>
      <c r="G547">
        <f>G546+F547</f>
        <v/>
      </c>
    </row>
    <row r="548">
      <c r="A548" t="inlineStr">
        <is>
          <t>normal_expert_15</t>
        </is>
      </c>
      <c r="B548" t="n">
        <v>15</v>
      </c>
      <c r="C548" t="n">
        <v>0.37244886</v>
      </c>
      <c r="D548" t="n">
        <v>9</v>
      </c>
      <c r="E548">
        <f>"COMBIN("&amp;B548&amp;","&amp;D548&amp;")*"&amp;C548&amp;"^"&amp;D548&amp;"*(1-"&amp;C548&amp;")^("&amp;B548&amp;"-"&amp;D548&amp;")</f>
        <v/>
      </c>
      <c r="F548">
        <f>COMBIN(B548,D548)*C548^D548*(1-C548)^(B548-D548)</f>
        <v/>
      </c>
      <c r="G548">
        <f>G547+F548</f>
        <v/>
      </c>
    </row>
    <row r="549">
      <c r="A549" t="inlineStr">
        <is>
          <t>normal_expert_15</t>
        </is>
      </c>
      <c r="B549" t="n">
        <v>15</v>
      </c>
      <c r="C549" t="n">
        <v>0.37244886</v>
      </c>
      <c r="D549" t="n">
        <v>10</v>
      </c>
      <c r="E549">
        <f>"COMBIN("&amp;B549&amp;","&amp;D549&amp;")*"&amp;C549&amp;"^"&amp;D549&amp;"*(1-"&amp;C549&amp;")^("&amp;B549&amp;"-"&amp;D549&amp;")</f>
        <v/>
      </c>
      <c r="F549">
        <f>COMBIN(B549,D549)*C549^D549*(1-C549)^(B549-D549)</f>
        <v/>
      </c>
      <c r="G549">
        <f>G548+F549</f>
        <v/>
      </c>
    </row>
    <row r="550">
      <c r="A550" t="inlineStr">
        <is>
          <t>normal_expert_15</t>
        </is>
      </c>
      <c r="B550" t="n">
        <v>15</v>
      </c>
      <c r="C550" t="n">
        <v>0.37244886</v>
      </c>
      <c r="D550" t="n">
        <v>11</v>
      </c>
      <c r="E550">
        <f>"COMBIN("&amp;B550&amp;","&amp;D550&amp;")*"&amp;C550&amp;"^"&amp;D550&amp;"*(1-"&amp;C550&amp;")^("&amp;B550&amp;"-"&amp;D550&amp;")</f>
        <v/>
      </c>
      <c r="F550">
        <f>COMBIN(B550,D550)*C550^D550*(1-C550)^(B550-D550)</f>
        <v/>
      </c>
      <c r="G550">
        <f>G549+F550</f>
        <v/>
      </c>
    </row>
    <row r="551">
      <c r="A551" t="inlineStr">
        <is>
          <t>normal_expert_15</t>
        </is>
      </c>
      <c r="B551" t="n">
        <v>15</v>
      </c>
      <c r="C551" t="n">
        <v>0.37244886</v>
      </c>
      <c r="D551" t="n">
        <v>12</v>
      </c>
      <c r="E551">
        <f>"COMBIN("&amp;B551&amp;","&amp;D551&amp;")*"&amp;C551&amp;"^"&amp;D551&amp;"*(1-"&amp;C551&amp;")^("&amp;B551&amp;"-"&amp;D551&amp;")</f>
        <v/>
      </c>
      <c r="F551">
        <f>COMBIN(B551,D551)*C551^D551*(1-C551)^(B551-D551)</f>
        <v/>
      </c>
      <c r="G551">
        <f>G550+F551</f>
        <v/>
      </c>
    </row>
    <row r="552">
      <c r="A552" t="inlineStr">
        <is>
          <t>normal_expert_15</t>
        </is>
      </c>
      <c r="B552" t="n">
        <v>15</v>
      </c>
      <c r="C552" t="n">
        <v>0.37244886</v>
      </c>
      <c r="D552" t="n">
        <v>13</v>
      </c>
      <c r="E552">
        <f>"COMBIN("&amp;B552&amp;","&amp;D552&amp;")*"&amp;C552&amp;"^"&amp;D552&amp;"*(1-"&amp;C552&amp;")^("&amp;B552&amp;"-"&amp;D552&amp;")</f>
        <v/>
      </c>
      <c r="F552">
        <f>COMBIN(B552,D552)*C552^D552*(1-C552)^(B552-D552)</f>
        <v/>
      </c>
      <c r="G552">
        <f>G551+F552</f>
        <v/>
      </c>
    </row>
    <row r="553">
      <c r="A553" t="inlineStr">
        <is>
          <t>normal_expert_15</t>
        </is>
      </c>
      <c r="B553" t="n">
        <v>15</v>
      </c>
      <c r="C553" t="n">
        <v>0.37244886</v>
      </c>
      <c r="D553" t="n">
        <v>14</v>
      </c>
      <c r="E553">
        <f>"COMBIN("&amp;B553&amp;","&amp;D553&amp;")*"&amp;C553&amp;"^"&amp;D553&amp;"*(1-"&amp;C553&amp;")^("&amp;B553&amp;"-"&amp;D553&amp;")</f>
        <v/>
      </c>
      <c r="F553">
        <f>COMBIN(B553,D553)*C553^D553*(1-C553)^(B553-D553)</f>
        <v/>
      </c>
      <c r="G553">
        <f>G552+F553</f>
        <v/>
      </c>
    </row>
    <row r="554">
      <c r="A554" t="inlineStr">
        <is>
          <t>normal_expert_15</t>
        </is>
      </c>
      <c r="B554" t="n">
        <v>15</v>
      </c>
      <c r="C554" t="n">
        <v>0.37244886</v>
      </c>
      <c r="D554" t="n">
        <v>15</v>
      </c>
      <c r="E554">
        <f>"COMBIN("&amp;B554&amp;","&amp;D554&amp;")*"&amp;C554&amp;"^"&amp;D554&amp;"*(1-"&amp;C554&amp;")^("&amp;B554&amp;"-"&amp;D554&amp;")</f>
        <v/>
      </c>
      <c r="F554">
        <f>COMBIN(B554,D554)*C554^D554*(1-C554)^(B554-D554)</f>
        <v/>
      </c>
      <c r="G554">
        <f>G553+F554</f>
        <v/>
      </c>
    </row>
    <row r="555">
      <c r="A555" t="inlineStr">
        <is>
          <t>normal_expert_16</t>
        </is>
      </c>
      <c r="B555" t="n">
        <v>16</v>
      </c>
      <c r="C555" t="n">
        <v>0.35523136</v>
      </c>
      <c r="D555" t="n">
        <v>0</v>
      </c>
      <c r="E555">
        <f>"COMBIN("&amp;B555&amp;","&amp;D555&amp;")*"&amp;C555&amp;"^"&amp;D555&amp;"*(1-"&amp;C555&amp;")^("&amp;B555&amp;"-"&amp;D555&amp;")</f>
        <v/>
      </c>
      <c r="F555">
        <f>COMBIN(B555,D555)*C555^D555*(1-C555)^(B555-D555)</f>
        <v/>
      </c>
      <c r="G555">
        <f>F555</f>
        <v/>
      </c>
      <c r="H555">
        <f>SUM(F555:F571)</f>
        <v/>
      </c>
    </row>
    <row r="556">
      <c r="A556" t="inlineStr">
        <is>
          <t>normal_expert_16</t>
        </is>
      </c>
      <c r="B556" t="n">
        <v>16</v>
      </c>
      <c r="C556" t="n">
        <v>0.35523136</v>
      </c>
      <c r="D556" t="n">
        <v>1</v>
      </c>
      <c r="E556">
        <f>"COMBIN("&amp;B556&amp;","&amp;D556&amp;")*"&amp;C556&amp;"^"&amp;D556&amp;"*(1-"&amp;C556&amp;")^("&amp;B556&amp;"-"&amp;D556&amp;")</f>
        <v/>
      </c>
      <c r="F556">
        <f>COMBIN(B556,D556)*C556^D556*(1-C556)^(B556-D556)</f>
        <v/>
      </c>
      <c r="G556">
        <f>G555+F556</f>
        <v/>
      </c>
    </row>
    <row r="557">
      <c r="A557" t="inlineStr">
        <is>
          <t>normal_expert_16</t>
        </is>
      </c>
      <c r="B557" t="n">
        <v>16</v>
      </c>
      <c r="C557" t="n">
        <v>0.35523136</v>
      </c>
      <c r="D557" t="n">
        <v>2</v>
      </c>
      <c r="E557">
        <f>"COMBIN("&amp;B557&amp;","&amp;D557&amp;")*"&amp;C557&amp;"^"&amp;D557&amp;"*(1-"&amp;C557&amp;")^("&amp;B557&amp;"-"&amp;D557&amp;")</f>
        <v/>
      </c>
      <c r="F557">
        <f>COMBIN(B557,D557)*C557^D557*(1-C557)^(B557-D557)</f>
        <v/>
      </c>
      <c r="G557">
        <f>G556+F557</f>
        <v/>
      </c>
    </row>
    <row r="558">
      <c r="A558" t="inlineStr">
        <is>
          <t>normal_expert_16</t>
        </is>
      </c>
      <c r="B558" t="n">
        <v>16</v>
      </c>
      <c r="C558" t="n">
        <v>0.35523136</v>
      </c>
      <c r="D558" t="n">
        <v>3</v>
      </c>
      <c r="E558">
        <f>"COMBIN("&amp;B558&amp;","&amp;D558&amp;")*"&amp;C558&amp;"^"&amp;D558&amp;"*(1-"&amp;C558&amp;")^("&amp;B558&amp;"-"&amp;D558&amp;")</f>
        <v/>
      </c>
      <c r="F558">
        <f>COMBIN(B558,D558)*C558^D558*(1-C558)^(B558-D558)</f>
        <v/>
      </c>
      <c r="G558">
        <f>G557+F558</f>
        <v/>
      </c>
    </row>
    <row r="559">
      <c r="A559" t="inlineStr">
        <is>
          <t>normal_expert_16</t>
        </is>
      </c>
      <c r="B559" t="n">
        <v>16</v>
      </c>
      <c r="C559" t="n">
        <v>0.35523136</v>
      </c>
      <c r="D559" t="n">
        <v>4</v>
      </c>
      <c r="E559">
        <f>"COMBIN("&amp;B559&amp;","&amp;D559&amp;")*"&amp;C559&amp;"^"&amp;D559&amp;"*(1-"&amp;C559&amp;")^("&amp;B559&amp;"-"&amp;D559&amp;")</f>
        <v/>
      </c>
      <c r="F559">
        <f>COMBIN(B559,D559)*C559^D559*(1-C559)^(B559-D559)</f>
        <v/>
      </c>
      <c r="G559">
        <f>G558+F559</f>
        <v/>
      </c>
    </row>
    <row r="560">
      <c r="A560" t="inlineStr">
        <is>
          <t>normal_expert_16</t>
        </is>
      </c>
      <c r="B560" t="n">
        <v>16</v>
      </c>
      <c r="C560" t="n">
        <v>0.35523136</v>
      </c>
      <c r="D560" t="n">
        <v>5</v>
      </c>
      <c r="E560">
        <f>"COMBIN("&amp;B560&amp;","&amp;D560&amp;")*"&amp;C560&amp;"^"&amp;D560&amp;"*(1-"&amp;C560&amp;")^("&amp;B560&amp;"-"&amp;D560&amp;")</f>
        <v/>
      </c>
      <c r="F560">
        <f>COMBIN(B560,D560)*C560^D560*(1-C560)^(B560-D560)</f>
        <v/>
      </c>
      <c r="G560">
        <f>G559+F560</f>
        <v/>
      </c>
    </row>
    <row r="561">
      <c r="A561" t="inlineStr">
        <is>
          <t>normal_expert_16</t>
        </is>
      </c>
      <c r="B561" t="n">
        <v>16</v>
      </c>
      <c r="C561" t="n">
        <v>0.35523136</v>
      </c>
      <c r="D561" t="n">
        <v>6</v>
      </c>
      <c r="E561">
        <f>"COMBIN("&amp;B561&amp;","&amp;D561&amp;")*"&amp;C561&amp;"^"&amp;D561&amp;"*(1-"&amp;C561&amp;")^("&amp;B561&amp;"-"&amp;D561&amp;")</f>
        <v/>
      </c>
      <c r="F561">
        <f>COMBIN(B561,D561)*C561^D561*(1-C561)^(B561-D561)</f>
        <v/>
      </c>
      <c r="G561">
        <f>G560+F561</f>
        <v/>
      </c>
    </row>
    <row r="562">
      <c r="A562" t="inlineStr">
        <is>
          <t>normal_expert_16</t>
        </is>
      </c>
      <c r="B562" t="n">
        <v>16</v>
      </c>
      <c r="C562" t="n">
        <v>0.35523136</v>
      </c>
      <c r="D562" t="n">
        <v>7</v>
      </c>
      <c r="E562">
        <f>"COMBIN("&amp;B562&amp;","&amp;D562&amp;")*"&amp;C562&amp;"^"&amp;D562&amp;"*(1-"&amp;C562&amp;")^("&amp;B562&amp;"-"&amp;D562&amp;")</f>
        <v/>
      </c>
      <c r="F562">
        <f>COMBIN(B562,D562)*C562^D562*(1-C562)^(B562-D562)</f>
        <v/>
      </c>
      <c r="G562">
        <f>G561+F562</f>
        <v/>
      </c>
    </row>
    <row r="563">
      <c r="A563" t="inlineStr">
        <is>
          <t>normal_expert_16</t>
        </is>
      </c>
      <c r="B563" t="n">
        <v>16</v>
      </c>
      <c r="C563" t="n">
        <v>0.35523136</v>
      </c>
      <c r="D563" t="n">
        <v>8</v>
      </c>
      <c r="E563">
        <f>"COMBIN("&amp;B563&amp;","&amp;D563&amp;")*"&amp;C563&amp;"^"&amp;D563&amp;"*(1-"&amp;C563&amp;")^("&amp;B563&amp;"-"&amp;D563&amp;")</f>
        <v/>
      </c>
      <c r="F563">
        <f>COMBIN(B563,D563)*C563^D563*(1-C563)^(B563-D563)</f>
        <v/>
      </c>
      <c r="G563">
        <f>G562+F563</f>
        <v/>
      </c>
    </row>
    <row r="564">
      <c r="A564" t="inlineStr">
        <is>
          <t>normal_expert_16</t>
        </is>
      </c>
      <c r="B564" t="n">
        <v>16</v>
      </c>
      <c r="C564" t="n">
        <v>0.35523136</v>
      </c>
      <c r="D564" t="n">
        <v>9</v>
      </c>
      <c r="E564">
        <f>"COMBIN("&amp;B564&amp;","&amp;D564&amp;")*"&amp;C564&amp;"^"&amp;D564&amp;"*(1-"&amp;C564&amp;")^("&amp;B564&amp;"-"&amp;D564&amp;")</f>
        <v/>
      </c>
      <c r="F564">
        <f>COMBIN(B564,D564)*C564^D564*(1-C564)^(B564-D564)</f>
        <v/>
      </c>
      <c r="G564">
        <f>G563+F564</f>
        <v/>
      </c>
    </row>
    <row r="565">
      <c r="A565" t="inlineStr">
        <is>
          <t>normal_expert_16</t>
        </is>
      </c>
      <c r="B565" t="n">
        <v>16</v>
      </c>
      <c r="C565" t="n">
        <v>0.35523136</v>
      </c>
      <c r="D565" t="n">
        <v>10</v>
      </c>
      <c r="E565">
        <f>"COMBIN("&amp;B565&amp;","&amp;D565&amp;")*"&amp;C565&amp;"^"&amp;D565&amp;"*(1-"&amp;C565&amp;")^("&amp;B565&amp;"-"&amp;D565&amp;")</f>
        <v/>
      </c>
      <c r="F565">
        <f>COMBIN(B565,D565)*C565^D565*(1-C565)^(B565-D565)</f>
        <v/>
      </c>
      <c r="G565">
        <f>G564+F565</f>
        <v/>
      </c>
    </row>
    <row r="566">
      <c r="A566" t="inlineStr">
        <is>
          <t>normal_expert_16</t>
        </is>
      </c>
      <c r="B566" t="n">
        <v>16</v>
      </c>
      <c r="C566" t="n">
        <v>0.35523136</v>
      </c>
      <c r="D566" t="n">
        <v>11</v>
      </c>
      <c r="E566">
        <f>"COMBIN("&amp;B566&amp;","&amp;D566&amp;")*"&amp;C566&amp;"^"&amp;D566&amp;"*(1-"&amp;C566&amp;")^("&amp;B566&amp;"-"&amp;D566&amp;")</f>
        <v/>
      </c>
      <c r="F566">
        <f>COMBIN(B566,D566)*C566^D566*(1-C566)^(B566-D566)</f>
        <v/>
      </c>
      <c r="G566">
        <f>G565+F566</f>
        <v/>
      </c>
    </row>
    <row r="567">
      <c r="A567" t="inlineStr">
        <is>
          <t>normal_expert_16</t>
        </is>
      </c>
      <c r="B567" t="n">
        <v>16</v>
      </c>
      <c r="C567" t="n">
        <v>0.35523136</v>
      </c>
      <c r="D567" t="n">
        <v>12</v>
      </c>
      <c r="E567">
        <f>"COMBIN("&amp;B567&amp;","&amp;D567&amp;")*"&amp;C567&amp;"^"&amp;D567&amp;"*(1-"&amp;C567&amp;")^("&amp;B567&amp;"-"&amp;D567&amp;")</f>
        <v/>
      </c>
      <c r="F567">
        <f>COMBIN(B567,D567)*C567^D567*(1-C567)^(B567-D567)</f>
        <v/>
      </c>
      <c r="G567">
        <f>G566+F567</f>
        <v/>
      </c>
    </row>
    <row r="568">
      <c r="A568" t="inlineStr">
        <is>
          <t>normal_expert_16</t>
        </is>
      </c>
      <c r="B568" t="n">
        <v>16</v>
      </c>
      <c r="C568" t="n">
        <v>0.35523136</v>
      </c>
      <c r="D568" t="n">
        <v>13</v>
      </c>
      <c r="E568">
        <f>"COMBIN("&amp;B568&amp;","&amp;D568&amp;")*"&amp;C568&amp;"^"&amp;D568&amp;"*(1-"&amp;C568&amp;")^("&amp;B568&amp;"-"&amp;D568&amp;")</f>
        <v/>
      </c>
      <c r="F568">
        <f>COMBIN(B568,D568)*C568^D568*(1-C568)^(B568-D568)</f>
        <v/>
      </c>
      <c r="G568">
        <f>G567+F568</f>
        <v/>
      </c>
    </row>
    <row r="569">
      <c r="A569" t="inlineStr">
        <is>
          <t>normal_expert_16</t>
        </is>
      </c>
      <c r="B569" t="n">
        <v>16</v>
      </c>
      <c r="C569" t="n">
        <v>0.35523136</v>
      </c>
      <c r="D569" t="n">
        <v>14</v>
      </c>
      <c r="E569">
        <f>"COMBIN("&amp;B569&amp;","&amp;D569&amp;")*"&amp;C569&amp;"^"&amp;D569&amp;"*(1-"&amp;C569&amp;")^("&amp;B569&amp;"-"&amp;D569&amp;")</f>
        <v/>
      </c>
      <c r="F569">
        <f>COMBIN(B569,D569)*C569^D569*(1-C569)^(B569-D569)</f>
        <v/>
      </c>
      <c r="G569">
        <f>G568+F569</f>
        <v/>
      </c>
    </row>
    <row r="570">
      <c r="A570" t="inlineStr">
        <is>
          <t>normal_expert_16</t>
        </is>
      </c>
      <c r="B570" t="n">
        <v>16</v>
      </c>
      <c r="C570" t="n">
        <v>0.35523136</v>
      </c>
      <c r="D570" t="n">
        <v>15</v>
      </c>
      <c r="E570">
        <f>"COMBIN("&amp;B570&amp;","&amp;D570&amp;")*"&amp;C570&amp;"^"&amp;D570&amp;"*(1-"&amp;C570&amp;")^("&amp;B570&amp;"-"&amp;D570&amp;")</f>
        <v/>
      </c>
      <c r="F570">
        <f>COMBIN(B570,D570)*C570^D570*(1-C570)^(B570-D570)</f>
        <v/>
      </c>
      <c r="G570">
        <f>G569+F570</f>
        <v/>
      </c>
    </row>
    <row r="571">
      <c r="A571" t="inlineStr">
        <is>
          <t>normal_expert_16</t>
        </is>
      </c>
      <c r="B571" t="n">
        <v>16</v>
      </c>
      <c r="C571" t="n">
        <v>0.35523136</v>
      </c>
      <c r="D571" t="n">
        <v>16</v>
      </c>
      <c r="E571">
        <f>"COMBIN("&amp;B571&amp;","&amp;D571&amp;")*"&amp;C571&amp;"^"&amp;D571&amp;"*(1-"&amp;C571&amp;")^("&amp;B571&amp;"-"&amp;D571&amp;")</f>
        <v/>
      </c>
      <c r="F571">
        <f>COMBIN(B571,D571)*C571^D571*(1-C571)^(B571-D571)</f>
        <v/>
      </c>
      <c r="G571">
        <f>G570+F571</f>
        <v/>
      </c>
    </row>
    <row r="572">
      <c r="A572" t="inlineStr">
        <is>
          <t>normal_expert_8</t>
        </is>
      </c>
      <c r="B572" t="n">
        <v>8</v>
      </c>
      <c r="C572" t="n">
        <v>0.45167124</v>
      </c>
      <c r="D572" t="n">
        <v>0</v>
      </c>
      <c r="E572">
        <f>"COMBIN("&amp;B572&amp;","&amp;D572&amp;")*"&amp;C572&amp;"^"&amp;D572&amp;"*(1-"&amp;C572&amp;")^("&amp;B572&amp;"-"&amp;D572&amp;")</f>
        <v/>
      </c>
      <c r="F572">
        <f>COMBIN(B572,D572)*C572^D572*(1-C572)^(B572-D572)</f>
        <v/>
      </c>
      <c r="G572">
        <f>F572</f>
        <v/>
      </c>
      <c r="H572">
        <f>SUM(F572:F580)</f>
        <v/>
      </c>
    </row>
    <row r="573">
      <c r="A573" t="inlineStr">
        <is>
          <t>normal_expert_8</t>
        </is>
      </c>
      <c r="B573" t="n">
        <v>8</v>
      </c>
      <c r="C573" t="n">
        <v>0.45167124</v>
      </c>
      <c r="D573" t="n">
        <v>1</v>
      </c>
      <c r="E573">
        <f>"COMBIN("&amp;B573&amp;","&amp;D573&amp;")*"&amp;C573&amp;"^"&amp;D573&amp;"*(1-"&amp;C573&amp;")^("&amp;B573&amp;"-"&amp;D573&amp;")</f>
        <v/>
      </c>
      <c r="F573">
        <f>COMBIN(B573,D573)*C573^D573*(1-C573)^(B573-D573)</f>
        <v/>
      </c>
      <c r="G573">
        <f>G572+F573</f>
        <v/>
      </c>
    </row>
    <row r="574">
      <c r="A574" t="inlineStr">
        <is>
          <t>normal_expert_8</t>
        </is>
      </c>
      <c r="B574" t="n">
        <v>8</v>
      </c>
      <c r="C574" t="n">
        <v>0.45167124</v>
      </c>
      <c r="D574" t="n">
        <v>2</v>
      </c>
      <c r="E574">
        <f>"COMBIN("&amp;B574&amp;","&amp;D574&amp;")*"&amp;C574&amp;"^"&amp;D574&amp;"*(1-"&amp;C574&amp;")^("&amp;B574&amp;"-"&amp;D574&amp;")</f>
        <v/>
      </c>
      <c r="F574">
        <f>COMBIN(B574,D574)*C574^D574*(1-C574)^(B574-D574)</f>
        <v/>
      </c>
      <c r="G574">
        <f>G573+F574</f>
        <v/>
      </c>
    </row>
    <row r="575">
      <c r="A575" t="inlineStr">
        <is>
          <t>normal_expert_8</t>
        </is>
      </c>
      <c r="B575" t="n">
        <v>8</v>
      </c>
      <c r="C575" t="n">
        <v>0.45167124</v>
      </c>
      <c r="D575" t="n">
        <v>3</v>
      </c>
      <c r="E575">
        <f>"COMBIN("&amp;B575&amp;","&amp;D575&amp;")*"&amp;C575&amp;"^"&amp;D575&amp;"*(1-"&amp;C575&amp;")^("&amp;B575&amp;"-"&amp;D575&amp;")</f>
        <v/>
      </c>
      <c r="F575">
        <f>COMBIN(B575,D575)*C575^D575*(1-C575)^(B575-D575)</f>
        <v/>
      </c>
      <c r="G575">
        <f>G574+F575</f>
        <v/>
      </c>
    </row>
    <row r="576">
      <c r="A576" t="inlineStr">
        <is>
          <t>normal_expert_8</t>
        </is>
      </c>
      <c r="B576" t="n">
        <v>8</v>
      </c>
      <c r="C576" t="n">
        <v>0.45167124</v>
      </c>
      <c r="D576" t="n">
        <v>4</v>
      </c>
      <c r="E576">
        <f>"COMBIN("&amp;B576&amp;","&amp;D576&amp;")*"&amp;C576&amp;"^"&amp;D576&amp;"*(1-"&amp;C576&amp;")^("&amp;B576&amp;"-"&amp;D576&amp;")</f>
        <v/>
      </c>
      <c r="F576">
        <f>COMBIN(B576,D576)*C576^D576*(1-C576)^(B576-D576)</f>
        <v/>
      </c>
      <c r="G576">
        <f>G575+F576</f>
        <v/>
      </c>
    </row>
    <row r="577">
      <c r="A577" t="inlineStr">
        <is>
          <t>normal_expert_8</t>
        </is>
      </c>
      <c r="B577" t="n">
        <v>8</v>
      </c>
      <c r="C577" t="n">
        <v>0.45167124</v>
      </c>
      <c r="D577" t="n">
        <v>5</v>
      </c>
      <c r="E577">
        <f>"COMBIN("&amp;B577&amp;","&amp;D577&amp;")*"&amp;C577&amp;"^"&amp;D577&amp;"*(1-"&amp;C577&amp;")^("&amp;B577&amp;"-"&amp;D577&amp;")</f>
        <v/>
      </c>
      <c r="F577">
        <f>COMBIN(B577,D577)*C577^D577*(1-C577)^(B577-D577)</f>
        <v/>
      </c>
      <c r="G577">
        <f>G576+F577</f>
        <v/>
      </c>
    </row>
    <row r="578">
      <c r="A578" t="inlineStr">
        <is>
          <t>normal_expert_8</t>
        </is>
      </c>
      <c r="B578" t="n">
        <v>8</v>
      </c>
      <c r="C578" t="n">
        <v>0.45167124</v>
      </c>
      <c r="D578" t="n">
        <v>6</v>
      </c>
      <c r="E578">
        <f>"COMBIN("&amp;B578&amp;","&amp;D578&amp;")*"&amp;C578&amp;"^"&amp;D578&amp;"*(1-"&amp;C578&amp;")^("&amp;B578&amp;"-"&amp;D578&amp;")</f>
        <v/>
      </c>
      <c r="F578">
        <f>COMBIN(B578,D578)*C578^D578*(1-C578)^(B578-D578)</f>
        <v/>
      </c>
      <c r="G578">
        <f>G577+F578</f>
        <v/>
      </c>
    </row>
    <row r="579">
      <c r="A579" t="inlineStr">
        <is>
          <t>normal_expert_8</t>
        </is>
      </c>
      <c r="B579" t="n">
        <v>8</v>
      </c>
      <c r="C579" t="n">
        <v>0.45167124</v>
      </c>
      <c r="D579" t="n">
        <v>7</v>
      </c>
      <c r="E579">
        <f>"COMBIN("&amp;B579&amp;","&amp;D579&amp;")*"&amp;C579&amp;"^"&amp;D579&amp;"*(1-"&amp;C579&amp;")^("&amp;B579&amp;"-"&amp;D579&amp;")</f>
        <v/>
      </c>
      <c r="F579">
        <f>COMBIN(B579,D579)*C579^D579*(1-C579)^(B579-D579)</f>
        <v/>
      </c>
      <c r="G579">
        <f>G578+F579</f>
        <v/>
      </c>
    </row>
    <row r="580">
      <c r="A580" t="inlineStr">
        <is>
          <t>normal_expert_8</t>
        </is>
      </c>
      <c r="B580" t="n">
        <v>8</v>
      </c>
      <c r="C580" t="n">
        <v>0.45167124</v>
      </c>
      <c r="D580" t="n">
        <v>8</v>
      </c>
      <c r="E580">
        <f>"COMBIN("&amp;B580&amp;","&amp;D580&amp;")*"&amp;C580&amp;"^"&amp;D580&amp;"*(1-"&amp;C580&amp;")^("&amp;B580&amp;"-"&amp;D580&amp;")</f>
        <v/>
      </c>
      <c r="F580">
        <f>COMBIN(B580,D580)*C580^D580*(1-C580)^(B580-D580)</f>
        <v/>
      </c>
      <c r="G580">
        <f>G579+F580</f>
        <v/>
      </c>
    </row>
    <row r="581">
      <c r="A581" t="inlineStr">
        <is>
          <t>normal_expert_9</t>
        </is>
      </c>
      <c r="B581" t="n">
        <v>9</v>
      </c>
      <c r="C581" t="n">
        <v>0.45680177</v>
      </c>
      <c r="D581" t="n">
        <v>0</v>
      </c>
      <c r="E581">
        <f>"COMBIN("&amp;B581&amp;","&amp;D581&amp;")*"&amp;C581&amp;"^"&amp;D581&amp;"*(1-"&amp;C581&amp;")^("&amp;B581&amp;"-"&amp;D581&amp;")</f>
        <v/>
      </c>
      <c r="F581">
        <f>COMBIN(B581,D581)*C581^D581*(1-C581)^(B581-D581)</f>
        <v/>
      </c>
      <c r="G581">
        <f>F581</f>
        <v/>
      </c>
      <c r="H581">
        <f>SUM(F581:F590)</f>
        <v/>
      </c>
    </row>
    <row r="582">
      <c r="A582" t="inlineStr">
        <is>
          <t>normal_expert_9</t>
        </is>
      </c>
      <c r="B582" t="n">
        <v>9</v>
      </c>
      <c r="C582" t="n">
        <v>0.45680177</v>
      </c>
      <c r="D582" t="n">
        <v>1</v>
      </c>
      <c r="E582">
        <f>"COMBIN("&amp;B582&amp;","&amp;D582&amp;")*"&amp;C582&amp;"^"&amp;D582&amp;"*(1-"&amp;C582&amp;")^("&amp;B582&amp;"-"&amp;D582&amp;")</f>
        <v/>
      </c>
      <c r="F582">
        <f>COMBIN(B582,D582)*C582^D582*(1-C582)^(B582-D582)</f>
        <v/>
      </c>
      <c r="G582">
        <f>G581+F582</f>
        <v/>
      </c>
    </row>
    <row r="583">
      <c r="A583" t="inlineStr">
        <is>
          <t>normal_expert_9</t>
        </is>
      </c>
      <c r="B583" t="n">
        <v>9</v>
      </c>
      <c r="C583" t="n">
        <v>0.45680177</v>
      </c>
      <c r="D583" t="n">
        <v>2</v>
      </c>
      <c r="E583">
        <f>"COMBIN("&amp;B583&amp;","&amp;D583&amp;")*"&amp;C583&amp;"^"&amp;D583&amp;"*(1-"&amp;C583&amp;")^("&amp;B583&amp;"-"&amp;D583&amp;")</f>
        <v/>
      </c>
      <c r="F583">
        <f>COMBIN(B583,D583)*C583^D583*(1-C583)^(B583-D583)</f>
        <v/>
      </c>
      <c r="G583">
        <f>G582+F583</f>
        <v/>
      </c>
    </row>
    <row r="584">
      <c r="A584" t="inlineStr">
        <is>
          <t>normal_expert_9</t>
        </is>
      </c>
      <c r="B584" t="n">
        <v>9</v>
      </c>
      <c r="C584" t="n">
        <v>0.45680177</v>
      </c>
      <c r="D584" t="n">
        <v>3</v>
      </c>
      <c r="E584">
        <f>"COMBIN("&amp;B584&amp;","&amp;D584&amp;")*"&amp;C584&amp;"^"&amp;D584&amp;"*(1-"&amp;C584&amp;")^("&amp;B584&amp;"-"&amp;D584&amp;")</f>
        <v/>
      </c>
      <c r="F584">
        <f>COMBIN(B584,D584)*C584^D584*(1-C584)^(B584-D584)</f>
        <v/>
      </c>
      <c r="G584">
        <f>G583+F584</f>
        <v/>
      </c>
    </row>
    <row r="585">
      <c r="A585" t="inlineStr">
        <is>
          <t>normal_expert_9</t>
        </is>
      </c>
      <c r="B585" t="n">
        <v>9</v>
      </c>
      <c r="C585" t="n">
        <v>0.45680177</v>
      </c>
      <c r="D585" t="n">
        <v>4</v>
      </c>
      <c r="E585">
        <f>"COMBIN("&amp;B585&amp;","&amp;D585&amp;")*"&amp;C585&amp;"^"&amp;D585&amp;"*(1-"&amp;C585&amp;")^("&amp;B585&amp;"-"&amp;D585&amp;")</f>
        <v/>
      </c>
      <c r="F585">
        <f>COMBIN(B585,D585)*C585^D585*(1-C585)^(B585-D585)</f>
        <v/>
      </c>
      <c r="G585">
        <f>G584+F585</f>
        <v/>
      </c>
    </row>
    <row r="586">
      <c r="A586" t="inlineStr">
        <is>
          <t>normal_expert_9</t>
        </is>
      </c>
      <c r="B586" t="n">
        <v>9</v>
      </c>
      <c r="C586" t="n">
        <v>0.45680177</v>
      </c>
      <c r="D586" t="n">
        <v>5</v>
      </c>
      <c r="E586">
        <f>"COMBIN("&amp;B586&amp;","&amp;D586&amp;")*"&amp;C586&amp;"^"&amp;D586&amp;"*(1-"&amp;C586&amp;")^("&amp;B586&amp;"-"&amp;D586&amp;")</f>
        <v/>
      </c>
      <c r="F586">
        <f>COMBIN(B586,D586)*C586^D586*(1-C586)^(B586-D586)</f>
        <v/>
      </c>
      <c r="G586">
        <f>G585+F586</f>
        <v/>
      </c>
    </row>
    <row r="587">
      <c r="A587" t="inlineStr">
        <is>
          <t>normal_expert_9</t>
        </is>
      </c>
      <c r="B587" t="n">
        <v>9</v>
      </c>
      <c r="C587" t="n">
        <v>0.45680177</v>
      </c>
      <c r="D587" t="n">
        <v>6</v>
      </c>
      <c r="E587">
        <f>"COMBIN("&amp;B587&amp;","&amp;D587&amp;")*"&amp;C587&amp;"^"&amp;D587&amp;"*(1-"&amp;C587&amp;")^("&amp;B587&amp;"-"&amp;D587&amp;")</f>
        <v/>
      </c>
      <c r="F587">
        <f>COMBIN(B587,D587)*C587^D587*(1-C587)^(B587-D587)</f>
        <v/>
      </c>
      <c r="G587">
        <f>G586+F587</f>
        <v/>
      </c>
    </row>
    <row r="588">
      <c r="A588" t="inlineStr">
        <is>
          <t>normal_expert_9</t>
        </is>
      </c>
      <c r="B588" t="n">
        <v>9</v>
      </c>
      <c r="C588" t="n">
        <v>0.45680177</v>
      </c>
      <c r="D588" t="n">
        <v>7</v>
      </c>
      <c r="E588">
        <f>"COMBIN("&amp;B588&amp;","&amp;D588&amp;")*"&amp;C588&amp;"^"&amp;D588&amp;"*(1-"&amp;C588&amp;")^("&amp;B588&amp;"-"&amp;D588&amp;")</f>
        <v/>
      </c>
      <c r="F588">
        <f>COMBIN(B588,D588)*C588^D588*(1-C588)^(B588-D588)</f>
        <v/>
      </c>
      <c r="G588">
        <f>G587+F588</f>
        <v/>
      </c>
    </row>
    <row r="589">
      <c r="A589" t="inlineStr">
        <is>
          <t>normal_expert_9</t>
        </is>
      </c>
      <c r="B589" t="n">
        <v>9</v>
      </c>
      <c r="C589" t="n">
        <v>0.45680177</v>
      </c>
      <c r="D589" t="n">
        <v>8</v>
      </c>
      <c r="E589">
        <f>"COMBIN("&amp;B589&amp;","&amp;D589&amp;")*"&amp;C589&amp;"^"&amp;D589&amp;"*(1-"&amp;C589&amp;")^("&amp;B589&amp;"-"&amp;D589&amp;")</f>
        <v/>
      </c>
      <c r="F589">
        <f>COMBIN(B589,D589)*C589^D589*(1-C589)^(B589-D589)</f>
        <v/>
      </c>
      <c r="G589">
        <f>G588+F589</f>
        <v/>
      </c>
    </row>
    <row r="590">
      <c r="A590" t="inlineStr">
        <is>
          <t>normal_expert_9</t>
        </is>
      </c>
      <c r="B590" t="n">
        <v>9</v>
      </c>
      <c r="C590" t="n">
        <v>0.45680177</v>
      </c>
      <c r="D590" t="n">
        <v>9</v>
      </c>
      <c r="E590">
        <f>"COMBIN("&amp;B590&amp;","&amp;D590&amp;")*"&amp;C590&amp;"^"&amp;D590&amp;"*(1-"&amp;C590&amp;")^("&amp;B590&amp;"-"&amp;D590&amp;")</f>
        <v/>
      </c>
      <c r="F590">
        <f>COMBIN(B590,D590)*C590^D590*(1-C590)^(B590-D590)</f>
        <v/>
      </c>
      <c r="G590">
        <f>G589+F590</f>
        <v/>
      </c>
    </row>
    <row r="591">
      <c r="A591" t="inlineStr">
        <is>
          <t>normal_high_10</t>
        </is>
      </c>
      <c r="B591" t="n">
        <v>10</v>
      </c>
      <c r="C591" t="n">
        <v>0.63927785</v>
      </c>
      <c r="D591" t="n">
        <v>0</v>
      </c>
      <c r="E591">
        <f>"COMBIN("&amp;B591&amp;","&amp;D591&amp;")*"&amp;C591&amp;"^"&amp;D591&amp;"*(1-"&amp;C591&amp;")^("&amp;B591&amp;"-"&amp;D591&amp;")</f>
        <v/>
      </c>
      <c r="F591">
        <f>COMBIN(B591,D591)*C591^D591*(1-C591)^(B591-D591)</f>
        <v/>
      </c>
      <c r="G591">
        <f>F591</f>
        <v/>
      </c>
      <c r="H591">
        <f>SUM(F591:F601)</f>
        <v/>
      </c>
    </row>
    <row r="592">
      <c r="A592" t="inlineStr">
        <is>
          <t>normal_high_10</t>
        </is>
      </c>
      <c r="B592" t="n">
        <v>10</v>
      </c>
      <c r="C592" t="n">
        <v>0.63927785</v>
      </c>
      <c r="D592" t="n">
        <v>1</v>
      </c>
      <c r="E592">
        <f>"COMBIN("&amp;B592&amp;","&amp;D592&amp;")*"&amp;C592&amp;"^"&amp;D592&amp;"*(1-"&amp;C592&amp;")^("&amp;B592&amp;"-"&amp;D592&amp;")</f>
        <v/>
      </c>
      <c r="F592">
        <f>COMBIN(B592,D592)*C592^D592*(1-C592)^(B592-D592)</f>
        <v/>
      </c>
      <c r="G592">
        <f>G591+F592</f>
        <v/>
      </c>
    </row>
    <row r="593">
      <c r="A593" t="inlineStr">
        <is>
          <t>normal_high_10</t>
        </is>
      </c>
      <c r="B593" t="n">
        <v>10</v>
      </c>
      <c r="C593" t="n">
        <v>0.63927785</v>
      </c>
      <c r="D593" t="n">
        <v>2</v>
      </c>
      <c r="E593">
        <f>"COMBIN("&amp;B593&amp;","&amp;D593&amp;")*"&amp;C593&amp;"^"&amp;D593&amp;"*(1-"&amp;C593&amp;")^("&amp;B593&amp;"-"&amp;D593&amp;")</f>
        <v/>
      </c>
      <c r="F593">
        <f>COMBIN(B593,D593)*C593^D593*(1-C593)^(B593-D593)</f>
        <v/>
      </c>
      <c r="G593">
        <f>G592+F593</f>
        <v/>
      </c>
    </row>
    <row r="594">
      <c r="A594" t="inlineStr">
        <is>
          <t>normal_high_10</t>
        </is>
      </c>
      <c r="B594" t="n">
        <v>10</v>
      </c>
      <c r="C594" t="n">
        <v>0.63927785</v>
      </c>
      <c r="D594" t="n">
        <v>3</v>
      </c>
      <c r="E594">
        <f>"COMBIN("&amp;B594&amp;","&amp;D594&amp;")*"&amp;C594&amp;"^"&amp;D594&amp;"*(1-"&amp;C594&amp;")^("&amp;B594&amp;"-"&amp;D594&amp;")</f>
        <v/>
      </c>
      <c r="F594">
        <f>COMBIN(B594,D594)*C594^D594*(1-C594)^(B594-D594)</f>
        <v/>
      </c>
      <c r="G594">
        <f>G593+F594</f>
        <v/>
      </c>
    </row>
    <row r="595">
      <c r="A595" t="inlineStr">
        <is>
          <t>normal_high_10</t>
        </is>
      </c>
      <c r="B595" t="n">
        <v>10</v>
      </c>
      <c r="C595" t="n">
        <v>0.63927785</v>
      </c>
      <c r="D595" t="n">
        <v>4</v>
      </c>
      <c r="E595">
        <f>"COMBIN("&amp;B595&amp;","&amp;D595&amp;")*"&amp;C595&amp;"^"&amp;D595&amp;"*(1-"&amp;C595&amp;")^("&amp;B595&amp;"-"&amp;D595&amp;")</f>
        <v/>
      </c>
      <c r="F595">
        <f>COMBIN(B595,D595)*C595^D595*(1-C595)^(B595-D595)</f>
        <v/>
      </c>
      <c r="G595">
        <f>G594+F595</f>
        <v/>
      </c>
    </row>
    <row r="596">
      <c r="A596" t="inlineStr">
        <is>
          <t>normal_high_10</t>
        </is>
      </c>
      <c r="B596" t="n">
        <v>10</v>
      </c>
      <c r="C596" t="n">
        <v>0.63927785</v>
      </c>
      <c r="D596" t="n">
        <v>5</v>
      </c>
      <c r="E596">
        <f>"COMBIN("&amp;B596&amp;","&amp;D596&amp;")*"&amp;C596&amp;"^"&amp;D596&amp;"*(1-"&amp;C596&amp;")^("&amp;B596&amp;"-"&amp;D596&amp;")</f>
        <v/>
      </c>
      <c r="F596">
        <f>COMBIN(B596,D596)*C596^D596*(1-C596)^(B596-D596)</f>
        <v/>
      </c>
      <c r="G596">
        <f>G595+F596</f>
        <v/>
      </c>
    </row>
    <row r="597">
      <c r="A597" t="inlineStr">
        <is>
          <t>normal_high_10</t>
        </is>
      </c>
      <c r="B597" t="n">
        <v>10</v>
      </c>
      <c r="C597" t="n">
        <v>0.63927785</v>
      </c>
      <c r="D597" t="n">
        <v>6</v>
      </c>
      <c r="E597">
        <f>"COMBIN("&amp;B597&amp;","&amp;D597&amp;")*"&amp;C597&amp;"^"&amp;D597&amp;"*(1-"&amp;C597&amp;")^("&amp;B597&amp;"-"&amp;D597&amp;")</f>
        <v/>
      </c>
      <c r="F597">
        <f>COMBIN(B597,D597)*C597^D597*(1-C597)^(B597-D597)</f>
        <v/>
      </c>
      <c r="G597">
        <f>G596+F597</f>
        <v/>
      </c>
    </row>
    <row r="598">
      <c r="A598" t="inlineStr">
        <is>
          <t>normal_high_10</t>
        </is>
      </c>
      <c r="B598" t="n">
        <v>10</v>
      </c>
      <c r="C598" t="n">
        <v>0.63927785</v>
      </c>
      <c r="D598" t="n">
        <v>7</v>
      </c>
      <c r="E598">
        <f>"COMBIN("&amp;B598&amp;","&amp;D598&amp;")*"&amp;C598&amp;"^"&amp;D598&amp;"*(1-"&amp;C598&amp;")^("&amp;B598&amp;"-"&amp;D598&amp;")</f>
        <v/>
      </c>
      <c r="F598">
        <f>COMBIN(B598,D598)*C598^D598*(1-C598)^(B598-D598)</f>
        <v/>
      </c>
      <c r="G598">
        <f>G597+F598</f>
        <v/>
      </c>
    </row>
    <row r="599">
      <c r="A599" t="inlineStr">
        <is>
          <t>normal_high_10</t>
        </is>
      </c>
      <c r="B599" t="n">
        <v>10</v>
      </c>
      <c r="C599" t="n">
        <v>0.63927785</v>
      </c>
      <c r="D599" t="n">
        <v>8</v>
      </c>
      <c r="E599">
        <f>"COMBIN("&amp;B599&amp;","&amp;D599&amp;")*"&amp;C599&amp;"^"&amp;D599&amp;"*(1-"&amp;C599&amp;")^("&amp;B599&amp;"-"&amp;D599&amp;")</f>
        <v/>
      </c>
      <c r="F599">
        <f>COMBIN(B599,D599)*C599^D599*(1-C599)^(B599-D599)</f>
        <v/>
      </c>
      <c r="G599">
        <f>G598+F599</f>
        <v/>
      </c>
    </row>
    <row r="600">
      <c r="A600" t="inlineStr">
        <is>
          <t>normal_high_10</t>
        </is>
      </c>
      <c r="B600" t="n">
        <v>10</v>
      </c>
      <c r="C600" t="n">
        <v>0.63927785</v>
      </c>
      <c r="D600" t="n">
        <v>9</v>
      </c>
      <c r="E600">
        <f>"COMBIN("&amp;B600&amp;","&amp;D600&amp;")*"&amp;C600&amp;"^"&amp;D600&amp;"*(1-"&amp;C600&amp;")^("&amp;B600&amp;"-"&amp;D600&amp;")</f>
        <v/>
      </c>
      <c r="F600">
        <f>COMBIN(B600,D600)*C600^D600*(1-C600)^(B600-D600)</f>
        <v/>
      </c>
      <c r="G600">
        <f>G599+F600</f>
        <v/>
      </c>
    </row>
    <row r="601">
      <c r="A601" t="inlineStr">
        <is>
          <t>normal_high_10</t>
        </is>
      </c>
      <c r="B601" t="n">
        <v>10</v>
      </c>
      <c r="C601" t="n">
        <v>0.63927785</v>
      </c>
      <c r="D601" t="n">
        <v>10</v>
      </c>
      <c r="E601">
        <f>"COMBIN("&amp;B601&amp;","&amp;D601&amp;")*"&amp;C601&amp;"^"&amp;D601&amp;"*(1-"&amp;C601&amp;")^("&amp;B601&amp;"-"&amp;D601&amp;")</f>
        <v/>
      </c>
      <c r="F601">
        <f>COMBIN(B601,D601)*C601^D601*(1-C601)^(B601-D601)</f>
        <v/>
      </c>
      <c r="G601">
        <f>G600+F601</f>
        <v/>
      </c>
    </row>
    <row r="602">
      <c r="A602" t="inlineStr">
        <is>
          <t>normal_high_11</t>
        </is>
      </c>
      <c r="B602" t="n">
        <v>11</v>
      </c>
      <c r="C602" t="n">
        <v>0.63871585</v>
      </c>
      <c r="D602" t="n">
        <v>0</v>
      </c>
      <c r="E602">
        <f>"COMBIN("&amp;B602&amp;","&amp;D602&amp;")*"&amp;C602&amp;"^"&amp;D602&amp;"*(1-"&amp;C602&amp;")^("&amp;B602&amp;"-"&amp;D602&amp;")</f>
        <v/>
      </c>
      <c r="F602">
        <f>COMBIN(B602,D602)*C602^D602*(1-C602)^(B602-D602)</f>
        <v/>
      </c>
      <c r="G602">
        <f>F602</f>
        <v/>
      </c>
      <c r="H602">
        <f>SUM(F602:F613)</f>
        <v/>
      </c>
    </row>
    <row r="603">
      <c r="A603" t="inlineStr">
        <is>
          <t>normal_high_11</t>
        </is>
      </c>
      <c r="B603" t="n">
        <v>11</v>
      </c>
      <c r="C603" t="n">
        <v>0.63871585</v>
      </c>
      <c r="D603" t="n">
        <v>1</v>
      </c>
      <c r="E603">
        <f>"COMBIN("&amp;B603&amp;","&amp;D603&amp;")*"&amp;C603&amp;"^"&amp;D603&amp;"*(1-"&amp;C603&amp;")^("&amp;B603&amp;"-"&amp;D603&amp;")</f>
        <v/>
      </c>
      <c r="F603">
        <f>COMBIN(B603,D603)*C603^D603*(1-C603)^(B603-D603)</f>
        <v/>
      </c>
      <c r="G603">
        <f>G602+F603</f>
        <v/>
      </c>
    </row>
    <row r="604">
      <c r="A604" t="inlineStr">
        <is>
          <t>normal_high_11</t>
        </is>
      </c>
      <c r="B604" t="n">
        <v>11</v>
      </c>
      <c r="C604" t="n">
        <v>0.63871585</v>
      </c>
      <c r="D604" t="n">
        <v>2</v>
      </c>
      <c r="E604">
        <f>"COMBIN("&amp;B604&amp;","&amp;D604&amp;")*"&amp;C604&amp;"^"&amp;D604&amp;"*(1-"&amp;C604&amp;")^("&amp;B604&amp;"-"&amp;D604&amp;")</f>
        <v/>
      </c>
      <c r="F604">
        <f>COMBIN(B604,D604)*C604^D604*(1-C604)^(B604-D604)</f>
        <v/>
      </c>
      <c r="G604">
        <f>G603+F604</f>
        <v/>
      </c>
    </row>
    <row r="605">
      <c r="A605" t="inlineStr">
        <is>
          <t>normal_high_11</t>
        </is>
      </c>
      <c r="B605" t="n">
        <v>11</v>
      </c>
      <c r="C605" t="n">
        <v>0.63871585</v>
      </c>
      <c r="D605" t="n">
        <v>3</v>
      </c>
      <c r="E605">
        <f>"COMBIN("&amp;B605&amp;","&amp;D605&amp;")*"&amp;C605&amp;"^"&amp;D605&amp;"*(1-"&amp;C605&amp;")^("&amp;B605&amp;"-"&amp;D605&amp;")</f>
        <v/>
      </c>
      <c r="F605">
        <f>COMBIN(B605,D605)*C605^D605*(1-C605)^(B605-D605)</f>
        <v/>
      </c>
      <c r="G605">
        <f>G604+F605</f>
        <v/>
      </c>
    </row>
    <row r="606">
      <c r="A606" t="inlineStr">
        <is>
          <t>normal_high_11</t>
        </is>
      </c>
      <c r="B606" t="n">
        <v>11</v>
      </c>
      <c r="C606" t="n">
        <v>0.63871585</v>
      </c>
      <c r="D606" t="n">
        <v>4</v>
      </c>
      <c r="E606">
        <f>"COMBIN("&amp;B606&amp;","&amp;D606&amp;")*"&amp;C606&amp;"^"&amp;D606&amp;"*(1-"&amp;C606&amp;")^("&amp;B606&amp;"-"&amp;D606&amp;")</f>
        <v/>
      </c>
      <c r="F606">
        <f>COMBIN(B606,D606)*C606^D606*(1-C606)^(B606-D606)</f>
        <v/>
      </c>
      <c r="G606">
        <f>G605+F606</f>
        <v/>
      </c>
    </row>
    <row r="607">
      <c r="A607" t="inlineStr">
        <is>
          <t>normal_high_11</t>
        </is>
      </c>
      <c r="B607" t="n">
        <v>11</v>
      </c>
      <c r="C607" t="n">
        <v>0.63871585</v>
      </c>
      <c r="D607" t="n">
        <v>5</v>
      </c>
      <c r="E607">
        <f>"COMBIN("&amp;B607&amp;","&amp;D607&amp;")*"&amp;C607&amp;"^"&amp;D607&amp;"*(1-"&amp;C607&amp;")^("&amp;B607&amp;"-"&amp;D607&amp;")</f>
        <v/>
      </c>
      <c r="F607">
        <f>COMBIN(B607,D607)*C607^D607*(1-C607)^(B607-D607)</f>
        <v/>
      </c>
      <c r="G607">
        <f>G606+F607</f>
        <v/>
      </c>
    </row>
    <row r="608">
      <c r="A608" t="inlineStr">
        <is>
          <t>normal_high_11</t>
        </is>
      </c>
      <c r="B608" t="n">
        <v>11</v>
      </c>
      <c r="C608" t="n">
        <v>0.63871585</v>
      </c>
      <c r="D608" t="n">
        <v>6</v>
      </c>
      <c r="E608">
        <f>"COMBIN("&amp;B608&amp;","&amp;D608&amp;")*"&amp;C608&amp;"^"&amp;D608&amp;"*(1-"&amp;C608&amp;")^("&amp;B608&amp;"-"&amp;D608&amp;")</f>
        <v/>
      </c>
      <c r="F608">
        <f>COMBIN(B608,D608)*C608^D608*(1-C608)^(B608-D608)</f>
        <v/>
      </c>
      <c r="G608">
        <f>G607+F608</f>
        <v/>
      </c>
    </row>
    <row r="609">
      <c r="A609" t="inlineStr">
        <is>
          <t>normal_high_11</t>
        </is>
      </c>
      <c r="B609" t="n">
        <v>11</v>
      </c>
      <c r="C609" t="n">
        <v>0.63871585</v>
      </c>
      <c r="D609" t="n">
        <v>7</v>
      </c>
      <c r="E609">
        <f>"COMBIN("&amp;B609&amp;","&amp;D609&amp;")*"&amp;C609&amp;"^"&amp;D609&amp;"*(1-"&amp;C609&amp;")^("&amp;B609&amp;"-"&amp;D609&amp;")</f>
        <v/>
      </c>
      <c r="F609">
        <f>COMBIN(B609,D609)*C609^D609*(1-C609)^(B609-D609)</f>
        <v/>
      </c>
      <c r="G609">
        <f>G608+F609</f>
        <v/>
      </c>
    </row>
    <row r="610">
      <c r="A610" t="inlineStr">
        <is>
          <t>normal_high_11</t>
        </is>
      </c>
      <c r="B610" t="n">
        <v>11</v>
      </c>
      <c r="C610" t="n">
        <v>0.63871585</v>
      </c>
      <c r="D610" t="n">
        <v>8</v>
      </c>
      <c r="E610">
        <f>"COMBIN("&amp;B610&amp;","&amp;D610&amp;")*"&amp;C610&amp;"^"&amp;D610&amp;"*(1-"&amp;C610&amp;")^("&amp;B610&amp;"-"&amp;D610&amp;")</f>
        <v/>
      </c>
      <c r="F610">
        <f>COMBIN(B610,D610)*C610^D610*(1-C610)^(B610-D610)</f>
        <v/>
      </c>
      <c r="G610">
        <f>G609+F610</f>
        <v/>
      </c>
    </row>
    <row r="611">
      <c r="A611" t="inlineStr">
        <is>
          <t>normal_high_11</t>
        </is>
      </c>
      <c r="B611" t="n">
        <v>11</v>
      </c>
      <c r="C611" t="n">
        <v>0.63871585</v>
      </c>
      <c r="D611" t="n">
        <v>9</v>
      </c>
      <c r="E611">
        <f>"COMBIN("&amp;B611&amp;","&amp;D611&amp;")*"&amp;C611&amp;"^"&amp;D611&amp;"*(1-"&amp;C611&amp;")^("&amp;B611&amp;"-"&amp;D611&amp;")</f>
        <v/>
      </c>
      <c r="F611">
        <f>COMBIN(B611,D611)*C611^D611*(1-C611)^(B611-D611)</f>
        <v/>
      </c>
      <c r="G611">
        <f>G610+F611</f>
        <v/>
      </c>
    </row>
    <row r="612">
      <c r="A612" t="inlineStr">
        <is>
          <t>normal_high_11</t>
        </is>
      </c>
      <c r="B612" t="n">
        <v>11</v>
      </c>
      <c r="C612" t="n">
        <v>0.63871585</v>
      </c>
      <c r="D612" t="n">
        <v>10</v>
      </c>
      <c r="E612">
        <f>"COMBIN("&amp;B612&amp;","&amp;D612&amp;")*"&amp;C612&amp;"^"&amp;D612&amp;"*(1-"&amp;C612&amp;")^("&amp;B612&amp;"-"&amp;D612&amp;")</f>
        <v/>
      </c>
      <c r="F612">
        <f>COMBIN(B612,D612)*C612^D612*(1-C612)^(B612-D612)</f>
        <v/>
      </c>
      <c r="G612">
        <f>G611+F612</f>
        <v/>
      </c>
    </row>
    <row r="613">
      <c r="A613" t="inlineStr">
        <is>
          <t>normal_high_11</t>
        </is>
      </c>
      <c r="B613" t="n">
        <v>11</v>
      </c>
      <c r="C613" t="n">
        <v>0.63871585</v>
      </c>
      <c r="D613" t="n">
        <v>11</v>
      </c>
      <c r="E613">
        <f>"COMBIN("&amp;B613&amp;","&amp;D613&amp;")*"&amp;C613&amp;"^"&amp;D613&amp;"*(1-"&amp;C613&amp;")^("&amp;B613&amp;"-"&amp;D613&amp;")</f>
        <v/>
      </c>
      <c r="F613">
        <f>COMBIN(B613,D613)*C613^D613*(1-C613)^(B613-D613)</f>
        <v/>
      </c>
      <c r="G613">
        <f>G612+F613</f>
        <v/>
      </c>
    </row>
    <row r="614">
      <c r="A614" t="inlineStr">
        <is>
          <t>normal_high_12</t>
        </is>
      </c>
      <c r="B614" t="n">
        <v>12</v>
      </c>
      <c r="C614" t="n">
        <v>0.64405206</v>
      </c>
      <c r="D614" t="n">
        <v>0</v>
      </c>
      <c r="E614">
        <f>"COMBIN("&amp;B614&amp;","&amp;D614&amp;")*"&amp;C614&amp;"^"&amp;D614&amp;"*(1-"&amp;C614&amp;")^("&amp;B614&amp;"-"&amp;D614&amp;")</f>
        <v/>
      </c>
      <c r="F614">
        <f>COMBIN(B614,D614)*C614^D614*(1-C614)^(B614-D614)</f>
        <v/>
      </c>
      <c r="G614">
        <f>F614</f>
        <v/>
      </c>
      <c r="H614">
        <f>SUM(F614:F626)</f>
        <v/>
      </c>
    </row>
    <row r="615">
      <c r="A615" t="inlineStr">
        <is>
          <t>normal_high_12</t>
        </is>
      </c>
      <c r="B615" t="n">
        <v>12</v>
      </c>
      <c r="C615" t="n">
        <v>0.64405206</v>
      </c>
      <c r="D615" t="n">
        <v>1</v>
      </c>
      <c r="E615">
        <f>"COMBIN("&amp;B615&amp;","&amp;D615&amp;")*"&amp;C615&amp;"^"&amp;D615&amp;"*(1-"&amp;C615&amp;")^("&amp;B615&amp;"-"&amp;D615&amp;")</f>
        <v/>
      </c>
      <c r="F615">
        <f>COMBIN(B615,D615)*C615^D615*(1-C615)^(B615-D615)</f>
        <v/>
      </c>
      <c r="G615">
        <f>G614+F615</f>
        <v/>
      </c>
    </row>
    <row r="616">
      <c r="A616" t="inlineStr">
        <is>
          <t>normal_high_12</t>
        </is>
      </c>
      <c r="B616" t="n">
        <v>12</v>
      </c>
      <c r="C616" t="n">
        <v>0.64405206</v>
      </c>
      <c r="D616" t="n">
        <v>2</v>
      </c>
      <c r="E616">
        <f>"COMBIN("&amp;B616&amp;","&amp;D616&amp;")*"&amp;C616&amp;"^"&amp;D616&amp;"*(1-"&amp;C616&amp;")^("&amp;B616&amp;"-"&amp;D616&amp;")</f>
        <v/>
      </c>
      <c r="F616">
        <f>COMBIN(B616,D616)*C616^D616*(1-C616)^(B616-D616)</f>
        <v/>
      </c>
      <c r="G616">
        <f>G615+F616</f>
        <v/>
      </c>
    </row>
    <row r="617">
      <c r="A617" t="inlineStr">
        <is>
          <t>normal_high_12</t>
        </is>
      </c>
      <c r="B617" t="n">
        <v>12</v>
      </c>
      <c r="C617" t="n">
        <v>0.64405206</v>
      </c>
      <c r="D617" t="n">
        <v>3</v>
      </c>
      <c r="E617">
        <f>"COMBIN("&amp;B617&amp;","&amp;D617&amp;")*"&amp;C617&amp;"^"&amp;D617&amp;"*(1-"&amp;C617&amp;")^("&amp;B617&amp;"-"&amp;D617&amp;")</f>
        <v/>
      </c>
      <c r="F617">
        <f>COMBIN(B617,D617)*C617^D617*(1-C617)^(B617-D617)</f>
        <v/>
      </c>
      <c r="G617">
        <f>G616+F617</f>
        <v/>
      </c>
    </row>
    <row r="618">
      <c r="A618" t="inlineStr">
        <is>
          <t>normal_high_12</t>
        </is>
      </c>
      <c r="B618" t="n">
        <v>12</v>
      </c>
      <c r="C618" t="n">
        <v>0.64405206</v>
      </c>
      <c r="D618" t="n">
        <v>4</v>
      </c>
      <c r="E618">
        <f>"COMBIN("&amp;B618&amp;","&amp;D618&amp;")*"&amp;C618&amp;"^"&amp;D618&amp;"*(1-"&amp;C618&amp;")^("&amp;B618&amp;"-"&amp;D618&amp;")</f>
        <v/>
      </c>
      <c r="F618">
        <f>COMBIN(B618,D618)*C618^D618*(1-C618)^(B618-D618)</f>
        <v/>
      </c>
      <c r="G618">
        <f>G617+F618</f>
        <v/>
      </c>
    </row>
    <row r="619">
      <c r="A619" t="inlineStr">
        <is>
          <t>normal_high_12</t>
        </is>
      </c>
      <c r="B619" t="n">
        <v>12</v>
      </c>
      <c r="C619" t="n">
        <v>0.64405206</v>
      </c>
      <c r="D619" t="n">
        <v>5</v>
      </c>
      <c r="E619">
        <f>"COMBIN("&amp;B619&amp;","&amp;D619&amp;")*"&amp;C619&amp;"^"&amp;D619&amp;"*(1-"&amp;C619&amp;")^("&amp;B619&amp;"-"&amp;D619&amp;")</f>
        <v/>
      </c>
      <c r="F619">
        <f>COMBIN(B619,D619)*C619^D619*(1-C619)^(B619-D619)</f>
        <v/>
      </c>
      <c r="G619">
        <f>G618+F619</f>
        <v/>
      </c>
    </row>
    <row r="620">
      <c r="A620" t="inlineStr">
        <is>
          <t>normal_high_12</t>
        </is>
      </c>
      <c r="B620" t="n">
        <v>12</v>
      </c>
      <c r="C620" t="n">
        <v>0.64405206</v>
      </c>
      <c r="D620" t="n">
        <v>6</v>
      </c>
      <c r="E620">
        <f>"COMBIN("&amp;B620&amp;","&amp;D620&amp;")*"&amp;C620&amp;"^"&amp;D620&amp;"*(1-"&amp;C620&amp;")^("&amp;B620&amp;"-"&amp;D620&amp;")</f>
        <v/>
      </c>
      <c r="F620">
        <f>COMBIN(B620,D620)*C620^D620*(1-C620)^(B620-D620)</f>
        <v/>
      </c>
      <c r="G620">
        <f>G619+F620</f>
        <v/>
      </c>
    </row>
    <row r="621">
      <c r="A621" t="inlineStr">
        <is>
          <t>normal_high_12</t>
        </is>
      </c>
      <c r="B621" t="n">
        <v>12</v>
      </c>
      <c r="C621" t="n">
        <v>0.64405206</v>
      </c>
      <c r="D621" t="n">
        <v>7</v>
      </c>
      <c r="E621">
        <f>"COMBIN("&amp;B621&amp;","&amp;D621&amp;")*"&amp;C621&amp;"^"&amp;D621&amp;"*(1-"&amp;C621&amp;")^("&amp;B621&amp;"-"&amp;D621&amp;")</f>
        <v/>
      </c>
      <c r="F621">
        <f>COMBIN(B621,D621)*C621^D621*(1-C621)^(B621-D621)</f>
        <v/>
      </c>
      <c r="G621">
        <f>G620+F621</f>
        <v/>
      </c>
    </row>
    <row r="622">
      <c r="A622" t="inlineStr">
        <is>
          <t>normal_high_12</t>
        </is>
      </c>
      <c r="B622" t="n">
        <v>12</v>
      </c>
      <c r="C622" t="n">
        <v>0.64405206</v>
      </c>
      <c r="D622" t="n">
        <v>8</v>
      </c>
      <c r="E622">
        <f>"COMBIN("&amp;B622&amp;","&amp;D622&amp;")*"&amp;C622&amp;"^"&amp;D622&amp;"*(1-"&amp;C622&amp;")^("&amp;B622&amp;"-"&amp;D622&amp;")</f>
        <v/>
      </c>
      <c r="F622">
        <f>COMBIN(B622,D622)*C622^D622*(1-C622)^(B622-D622)</f>
        <v/>
      </c>
      <c r="G622">
        <f>G621+F622</f>
        <v/>
      </c>
    </row>
    <row r="623">
      <c r="A623" t="inlineStr">
        <is>
          <t>normal_high_12</t>
        </is>
      </c>
      <c r="B623" t="n">
        <v>12</v>
      </c>
      <c r="C623" t="n">
        <v>0.64405206</v>
      </c>
      <c r="D623" t="n">
        <v>9</v>
      </c>
      <c r="E623">
        <f>"COMBIN("&amp;B623&amp;","&amp;D623&amp;")*"&amp;C623&amp;"^"&amp;D623&amp;"*(1-"&amp;C623&amp;")^("&amp;B623&amp;"-"&amp;D623&amp;")</f>
        <v/>
      </c>
      <c r="F623">
        <f>COMBIN(B623,D623)*C623^D623*(1-C623)^(B623-D623)</f>
        <v/>
      </c>
      <c r="G623">
        <f>G622+F623</f>
        <v/>
      </c>
    </row>
    <row r="624">
      <c r="A624" t="inlineStr">
        <is>
          <t>normal_high_12</t>
        </is>
      </c>
      <c r="B624" t="n">
        <v>12</v>
      </c>
      <c r="C624" t="n">
        <v>0.64405206</v>
      </c>
      <c r="D624" t="n">
        <v>10</v>
      </c>
      <c r="E624">
        <f>"COMBIN("&amp;B624&amp;","&amp;D624&amp;")*"&amp;C624&amp;"^"&amp;D624&amp;"*(1-"&amp;C624&amp;")^("&amp;B624&amp;"-"&amp;D624&amp;")</f>
        <v/>
      </c>
      <c r="F624">
        <f>COMBIN(B624,D624)*C624^D624*(1-C624)^(B624-D624)</f>
        <v/>
      </c>
      <c r="G624">
        <f>G623+F624</f>
        <v/>
      </c>
    </row>
    <row r="625">
      <c r="A625" t="inlineStr">
        <is>
          <t>normal_high_12</t>
        </is>
      </c>
      <c r="B625" t="n">
        <v>12</v>
      </c>
      <c r="C625" t="n">
        <v>0.64405206</v>
      </c>
      <c r="D625" t="n">
        <v>11</v>
      </c>
      <c r="E625">
        <f>"COMBIN("&amp;B625&amp;","&amp;D625&amp;")*"&amp;C625&amp;"^"&amp;D625&amp;"*(1-"&amp;C625&amp;")^("&amp;B625&amp;"-"&amp;D625&amp;")</f>
        <v/>
      </c>
      <c r="F625">
        <f>COMBIN(B625,D625)*C625^D625*(1-C625)^(B625-D625)</f>
        <v/>
      </c>
      <c r="G625">
        <f>G624+F625</f>
        <v/>
      </c>
    </row>
    <row r="626">
      <c r="A626" t="inlineStr">
        <is>
          <t>normal_high_12</t>
        </is>
      </c>
      <c r="B626" t="n">
        <v>12</v>
      </c>
      <c r="C626" t="n">
        <v>0.64405206</v>
      </c>
      <c r="D626" t="n">
        <v>12</v>
      </c>
      <c r="E626">
        <f>"COMBIN("&amp;B626&amp;","&amp;D626&amp;")*"&amp;C626&amp;"^"&amp;D626&amp;"*(1-"&amp;C626&amp;")^("&amp;B626&amp;"-"&amp;D626&amp;")</f>
        <v/>
      </c>
      <c r="F626">
        <f>COMBIN(B626,D626)*C626^D626*(1-C626)^(B626-D626)</f>
        <v/>
      </c>
      <c r="G626">
        <f>G625+F626</f>
        <v/>
      </c>
    </row>
    <row r="627">
      <c r="A627" t="inlineStr">
        <is>
          <t>normal_high_13</t>
        </is>
      </c>
      <c r="B627" t="n">
        <v>13</v>
      </c>
      <c r="C627" t="n">
        <v>0.64479564</v>
      </c>
      <c r="D627" t="n">
        <v>0</v>
      </c>
      <c r="E627">
        <f>"COMBIN("&amp;B627&amp;","&amp;D627&amp;")*"&amp;C627&amp;"^"&amp;D627&amp;"*(1-"&amp;C627&amp;")^("&amp;B627&amp;"-"&amp;D627&amp;")</f>
        <v/>
      </c>
      <c r="F627">
        <f>COMBIN(B627,D627)*C627^D627*(1-C627)^(B627-D627)</f>
        <v/>
      </c>
      <c r="G627">
        <f>F627</f>
        <v/>
      </c>
      <c r="H627">
        <f>SUM(F627:F640)</f>
        <v/>
      </c>
    </row>
    <row r="628">
      <c r="A628" t="inlineStr">
        <is>
          <t>normal_high_13</t>
        </is>
      </c>
      <c r="B628" t="n">
        <v>13</v>
      </c>
      <c r="C628" t="n">
        <v>0.64479564</v>
      </c>
      <c r="D628" t="n">
        <v>1</v>
      </c>
      <c r="E628">
        <f>"COMBIN("&amp;B628&amp;","&amp;D628&amp;")*"&amp;C628&amp;"^"&amp;D628&amp;"*(1-"&amp;C628&amp;")^("&amp;B628&amp;"-"&amp;D628&amp;")</f>
        <v/>
      </c>
      <c r="F628">
        <f>COMBIN(B628,D628)*C628^D628*(1-C628)^(B628-D628)</f>
        <v/>
      </c>
      <c r="G628">
        <f>G627+F628</f>
        <v/>
      </c>
    </row>
    <row r="629">
      <c r="A629" t="inlineStr">
        <is>
          <t>normal_high_13</t>
        </is>
      </c>
      <c r="B629" t="n">
        <v>13</v>
      </c>
      <c r="C629" t="n">
        <v>0.64479564</v>
      </c>
      <c r="D629" t="n">
        <v>2</v>
      </c>
      <c r="E629">
        <f>"COMBIN("&amp;B629&amp;","&amp;D629&amp;")*"&amp;C629&amp;"^"&amp;D629&amp;"*(1-"&amp;C629&amp;")^("&amp;B629&amp;"-"&amp;D629&amp;")</f>
        <v/>
      </c>
      <c r="F629">
        <f>COMBIN(B629,D629)*C629^D629*(1-C629)^(B629-D629)</f>
        <v/>
      </c>
      <c r="G629">
        <f>G628+F629</f>
        <v/>
      </c>
    </row>
    <row r="630">
      <c r="A630" t="inlineStr">
        <is>
          <t>normal_high_13</t>
        </is>
      </c>
      <c r="B630" t="n">
        <v>13</v>
      </c>
      <c r="C630" t="n">
        <v>0.64479564</v>
      </c>
      <c r="D630" t="n">
        <v>3</v>
      </c>
      <c r="E630">
        <f>"COMBIN("&amp;B630&amp;","&amp;D630&amp;")*"&amp;C630&amp;"^"&amp;D630&amp;"*(1-"&amp;C630&amp;")^("&amp;B630&amp;"-"&amp;D630&amp;")</f>
        <v/>
      </c>
      <c r="F630">
        <f>COMBIN(B630,D630)*C630^D630*(1-C630)^(B630-D630)</f>
        <v/>
      </c>
      <c r="G630">
        <f>G629+F630</f>
        <v/>
      </c>
    </row>
    <row r="631">
      <c r="A631" t="inlineStr">
        <is>
          <t>normal_high_13</t>
        </is>
      </c>
      <c r="B631" t="n">
        <v>13</v>
      </c>
      <c r="C631" t="n">
        <v>0.64479564</v>
      </c>
      <c r="D631" t="n">
        <v>4</v>
      </c>
      <c r="E631">
        <f>"COMBIN("&amp;B631&amp;","&amp;D631&amp;")*"&amp;C631&amp;"^"&amp;D631&amp;"*(1-"&amp;C631&amp;")^("&amp;B631&amp;"-"&amp;D631&amp;")</f>
        <v/>
      </c>
      <c r="F631">
        <f>COMBIN(B631,D631)*C631^D631*(1-C631)^(B631-D631)</f>
        <v/>
      </c>
      <c r="G631">
        <f>G630+F631</f>
        <v/>
      </c>
    </row>
    <row r="632">
      <c r="A632" t="inlineStr">
        <is>
          <t>normal_high_13</t>
        </is>
      </c>
      <c r="B632" t="n">
        <v>13</v>
      </c>
      <c r="C632" t="n">
        <v>0.64479564</v>
      </c>
      <c r="D632" t="n">
        <v>5</v>
      </c>
      <c r="E632">
        <f>"COMBIN("&amp;B632&amp;","&amp;D632&amp;")*"&amp;C632&amp;"^"&amp;D632&amp;"*(1-"&amp;C632&amp;")^("&amp;B632&amp;"-"&amp;D632&amp;")</f>
        <v/>
      </c>
      <c r="F632">
        <f>COMBIN(B632,D632)*C632^D632*(1-C632)^(B632-D632)</f>
        <v/>
      </c>
      <c r="G632">
        <f>G631+F632</f>
        <v/>
      </c>
    </row>
    <row r="633">
      <c r="A633" t="inlineStr">
        <is>
          <t>normal_high_13</t>
        </is>
      </c>
      <c r="B633" t="n">
        <v>13</v>
      </c>
      <c r="C633" t="n">
        <v>0.64479564</v>
      </c>
      <c r="D633" t="n">
        <v>6</v>
      </c>
      <c r="E633">
        <f>"COMBIN("&amp;B633&amp;","&amp;D633&amp;")*"&amp;C633&amp;"^"&amp;D633&amp;"*(1-"&amp;C633&amp;")^("&amp;B633&amp;"-"&amp;D633&amp;")</f>
        <v/>
      </c>
      <c r="F633">
        <f>COMBIN(B633,D633)*C633^D633*(1-C633)^(B633-D633)</f>
        <v/>
      </c>
      <c r="G633">
        <f>G632+F633</f>
        <v/>
      </c>
    </row>
    <row r="634">
      <c r="A634" t="inlineStr">
        <is>
          <t>normal_high_13</t>
        </is>
      </c>
      <c r="B634" t="n">
        <v>13</v>
      </c>
      <c r="C634" t="n">
        <v>0.64479564</v>
      </c>
      <c r="D634" t="n">
        <v>7</v>
      </c>
      <c r="E634">
        <f>"COMBIN("&amp;B634&amp;","&amp;D634&amp;")*"&amp;C634&amp;"^"&amp;D634&amp;"*(1-"&amp;C634&amp;")^("&amp;B634&amp;"-"&amp;D634&amp;")</f>
        <v/>
      </c>
      <c r="F634">
        <f>COMBIN(B634,D634)*C634^D634*(1-C634)^(B634-D634)</f>
        <v/>
      </c>
      <c r="G634">
        <f>G633+F634</f>
        <v/>
      </c>
    </row>
    <row r="635">
      <c r="A635" t="inlineStr">
        <is>
          <t>normal_high_13</t>
        </is>
      </c>
      <c r="B635" t="n">
        <v>13</v>
      </c>
      <c r="C635" t="n">
        <v>0.64479564</v>
      </c>
      <c r="D635" t="n">
        <v>8</v>
      </c>
      <c r="E635">
        <f>"COMBIN("&amp;B635&amp;","&amp;D635&amp;")*"&amp;C635&amp;"^"&amp;D635&amp;"*(1-"&amp;C635&amp;")^("&amp;B635&amp;"-"&amp;D635&amp;")</f>
        <v/>
      </c>
      <c r="F635">
        <f>COMBIN(B635,D635)*C635^D635*(1-C635)^(B635-D635)</f>
        <v/>
      </c>
      <c r="G635">
        <f>G634+F635</f>
        <v/>
      </c>
    </row>
    <row r="636">
      <c r="A636" t="inlineStr">
        <is>
          <t>normal_high_13</t>
        </is>
      </c>
      <c r="B636" t="n">
        <v>13</v>
      </c>
      <c r="C636" t="n">
        <v>0.64479564</v>
      </c>
      <c r="D636" t="n">
        <v>9</v>
      </c>
      <c r="E636">
        <f>"COMBIN("&amp;B636&amp;","&amp;D636&amp;")*"&amp;C636&amp;"^"&amp;D636&amp;"*(1-"&amp;C636&amp;")^("&amp;B636&amp;"-"&amp;D636&amp;")</f>
        <v/>
      </c>
      <c r="F636">
        <f>COMBIN(B636,D636)*C636^D636*(1-C636)^(B636-D636)</f>
        <v/>
      </c>
      <c r="G636">
        <f>G635+F636</f>
        <v/>
      </c>
    </row>
    <row r="637">
      <c r="A637" t="inlineStr">
        <is>
          <t>normal_high_13</t>
        </is>
      </c>
      <c r="B637" t="n">
        <v>13</v>
      </c>
      <c r="C637" t="n">
        <v>0.64479564</v>
      </c>
      <c r="D637" t="n">
        <v>10</v>
      </c>
      <c r="E637">
        <f>"COMBIN("&amp;B637&amp;","&amp;D637&amp;")*"&amp;C637&amp;"^"&amp;D637&amp;"*(1-"&amp;C637&amp;")^("&amp;B637&amp;"-"&amp;D637&amp;")</f>
        <v/>
      </c>
      <c r="F637">
        <f>COMBIN(B637,D637)*C637^D637*(1-C637)^(B637-D637)</f>
        <v/>
      </c>
      <c r="G637">
        <f>G636+F637</f>
        <v/>
      </c>
    </row>
    <row r="638">
      <c r="A638" t="inlineStr">
        <is>
          <t>normal_high_13</t>
        </is>
      </c>
      <c r="B638" t="n">
        <v>13</v>
      </c>
      <c r="C638" t="n">
        <v>0.64479564</v>
      </c>
      <c r="D638" t="n">
        <v>11</v>
      </c>
      <c r="E638">
        <f>"COMBIN("&amp;B638&amp;","&amp;D638&amp;")*"&amp;C638&amp;"^"&amp;D638&amp;"*(1-"&amp;C638&amp;")^("&amp;B638&amp;"-"&amp;D638&amp;")</f>
        <v/>
      </c>
      <c r="F638">
        <f>COMBIN(B638,D638)*C638^D638*(1-C638)^(B638-D638)</f>
        <v/>
      </c>
      <c r="G638">
        <f>G637+F638</f>
        <v/>
      </c>
    </row>
    <row r="639">
      <c r="A639" t="inlineStr">
        <is>
          <t>normal_high_13</t>
        </is>
      </c>
      <c r="B639" t="n">
        <v>13</v>
      </c>
      <c r="C639" t="n">
        <v>0.64479564</v>
      </c>
      <c r="D639" t="n">
        <v>12</v>
      </c>
      <c r="E639">
        <f>"COMBIN("&amp;B639&amp;","&amp;D639&amp;")*"&amp;C639&amp;"^"&amp;D639&amp;"*(1-"&amp;C639&amp;")^("&amp;B639&amp;"-"&amp;D639&amp;")</f>
        <v/>
      </c>
      <c r="F639">
        <f>COMBIN(B639,D639)*C639^D639*(1-C639)^(B639-D639)</f>
        <v/>
      </c>
      <c r="G639">
        <f>G638+F639</f>
        <v/>
      </c>
    </row>
    <row r="640">
      <c r="A640" t="inlineStr">
        <is>
          <t>normal_high_13</t>
        </is>
      </c>
      <c r="B640" t="n">
        <v>13</v>
      </c>
      <c r="C640" t="n">
        <v>0.64479564</v>
      </c>
      <c r="D640" t="n">
        <v>13</v>
      </c>
      <c r="E640">
        <f>"COMBIN("&amp;B640&amp;","&amp;D640&amp;")*"&amp;C640&amp;"^"&amp;D640&amp;"*(1-"&amp;C640&amp;")^("&amp;B640&amp;"-"&amp;D640&amp;")</f>
        <v/>
      </c>
      <c r="F640">
        <f>COMBIN(B640,D640)*C640^D640*(1-C640)^(B640-D640)</f>
        <v/>
      </c>
      <c r="G640">
        <f>G639+F640</f>
        <v/>
      </c>
    </row>
    <row r="641">
      <c r="A641" t="inlineStr">
        <is>
          <t>normal_high_14</t>
        </is>
      </c>
      <c r="B641" t="n">
        <v>14</v>
      </c>
      <c r="C641" t="n">
        <v>0.64292</v>
      </c>
      <c r="D641" t="n">
        <v>0</v>
      </c>
      <c r="E641">
        <f>"COMBIN("&amp;B641&amp;","&amp;D641&amp;")*"&amp;C641&amp;"^"&amp;D641&amp;"*(1-"&amp;C641&amp;")^("&amp;B641&amp;"-"&amp;D641&amp;")</f>
        <v/>
      </c>
      <c r="F641">
        <f>COMBIN(B641,D641)*C641^D641*(1-C641)^(B641-D641)</f>
        <v/>
      </c>
      <c r="G641">
        <f>F641</f>
        <v/>
      </c>
      <c r="H641">
        <f>SUM(F641:F655)</f>
        <v/>
      </c>
    </row>
    <row r="642">
      <c r="A642" t="inlineStr">
        <is>
          <t>normal_high_14</t>
        </is>
      </c>
      <c r="B642" t="n">
        <v>14</v>
      </c>
      <c r="C642" t="n">
        <v>0.64292</v>
      </c>
      <c r="D642" t="n">
        <v>1</v>
      </c>
      <c r="E642">
        <f>"COMBIN("&amp;B642&amp;","&amp;D642&amp;")*"&amp;C642&amp;"^"&amp;D642&amp;"*(1-"&amp;C642&amp;")^("&amp;B642&amp;"-"&amp;D642&amp;")</f>
        <v/>
      </c>
      <c r="F642">
        <f>COMBIN(B642,D642)*C642^D642*(1-C642)^(B642-D642)</f>
        <v/>
      </c>
      <c r="G642">
        <f>G641+F642</f>
        <v/>
      </c>
    </row>
    <row r="643">
      <c r="A643" t="inlineStr">
        <is>
          <t>normal_high_14</t>
        </is>
      </c>
      <c r="B643" t="n">
        <v>14</v>
      </c>
      <c r="C643" t="n">
        <v>0.64292</v>
      </c>
      <c r="D643" t="n">
        <v>2</v>
      </c>
      <c r="E643">
        <f>"COMBIN("&amp;B643&amp;","&amp;D643&amp;")*"&amp;C643&amp;"^"&amp;D643&amp;"*(1-"&amp;C643&amp;")^("&amp;B643&amp;"-"&amp;D643&amp;")</f>
        <v/>
      </c>
      <c r="F643">
        <f>COMBIN(B643,D643)*C643^D643*(1-C643)^(B643-D643)</f>
        <v/>
      </c>
      <c r="G643">
        <f>G642+F643</f>
        <v/>
      </c>
    </row>
    <row r="644">
      <c r="A644" t="inlineStr">
        <is>
          <t>normal_high_14</t>
        </is>
      </c>
      <c r="B644" t="n">
        <v>14</v>
      </c>
      <c r="C644" t="n">
        <v>0.64292</v>
      </c>
      <c r="D644" t="n">
        <v>3</v>
      </c>
      <c r="E644">
        <f>"COMBIN("&amp;B644&amp;","&amp;D644&amp;")*"&amp;C644&amp;"^"&amp;D644&amp;"*(1-"&amp;C644&amp;")^("&amp;B644&amp;"-"&amp;D644&amp;")</f>
        <v/>
      </c>
      <c r="F644">
        <f>COMBIN(B644,D644)*C644^D644*(1-C644)^(B644-D644)</f>
        <v/>
      </c>
      <c r="G644">
        <f>G643+F644</f>
        <v/>
      </c>
    </row>
    <row r="645">
      <c r="A645" t="inlineStr">
        <is>
          <t>normal_high_14</t>
        </is>
      </c>
      <c r="B645" t="n">
        <v>14</v>
      </c>
      <c r="C645" t="n">
        <v>0.64292</v>
      </c>
      <c r="D645" t="n">
        <v>4</v>
      </c>
      <c r="E645">
        <f>"COMBIN("&amp;B645&amp;","&amp;D645&amp;")*"&amp;C645&amp;"^"&amp;D645&amp;"*(1-"&amp;C645&amp;")^("&amp;B645&amp;"-"&amp;D645&amp;")</f>
        <v/>
      </c>
      <c r="F645">
        <f>COMBIN(B645,D645)*C645^D645*(1-C645)^(B645-D645)</f>
        <v/>
      </c>
      <c r="G645">
        <f>G644+F645</f>
        <v/>
      </c>
    </row>
    <row r="646">
      <c r="A646" t="inlineStr">
        <is>
          <t>normal_high_14</t>
        </is>
      </c>
      <c r="B646" t="n">
        <v>14</v>
      </c>
      <c r="C646" t="n">
        <v>0.64292</v>
      </c>
      <c r="D646" t="n">
        <v>5</v>
      </c>
      <c r="E646">
        <f>"COMBIN("&amp;B646&amp;","&amp;D646&amp;")*"&amp;C646&amp;"^"&amp;D646&amp;"*(1-"&amp;C646&amp;")^("&amp;B646&amp;"-"&amp;D646&amp;")</f>
        <v/>
      </c>
      <c r="F646">
        <f>COMBIN(B646,D646)*C646^D646*(1-C646)^(B646-D646)</f>
        <v/>
      </c>
      <c r="G646">
        <f>G645+F646</f>
        <v/>
      </c>
    </row>
    <row r="647">
      <c r="A647" t="inlineStr">
        <is>
          <t>normal_high_14</t>
        </is>
      </c>
      <c r="B647" t="n">
        <v>14</v>
      </c>
      <c r="C647" t="n">
        <v>0.64292</v>
      </c>
      <c r="D647" t="n">
        <v>6</v>
      </c>
      <c r="E647">
        <f>"COMBIN("&amp;B647&amp;","&amp;D647&amp;")*"&amp;C647&amp;"^"&amp;D647&amp;"*(1-"&amp;C647&amp;")^("&amp;B647&amp;"-"&amp;D647&amp;")</f>
        <v/>
      </c>
      <c r="F647">
        <f>COMBIN(B647,D647)*C647^D647*(1-C647)^(B647-D647)</f>
        <v/>
      </c>
      <c r="G647">
        <f>G646+F647</f>
        <v/>
      </c>
    </row>
    <row r="648">
      <c r="A648" t="inlineStr">
        <is>
          <t>normal_high_14</t>
        </is>
      </c>
      <c r="B648" t="n">
        <v>14</v>
      </c>
      <c r="C648" t="n">
        <v>0.64292</v>
      </c>
      <c r="D648" t="n">
        <v>7</v>
      </c>
      <c r="E648">
        <f>"COMBIN("&amp;B648&amp;","&amp;D648&amp;")*"&amp;C648&amp;"^"&amp;D648&amp;"*(1-"&amp;C648&amp;")^("&amp;B648&amp;"-"&amp;D648&amp;")</f>
        <v/>
      </c>
      <c r="F648">
        <f>COMBIN(B648,D648)*C648^D648*(1-C648)^(B648-D648)</f>
        <v/>
      </c>
      <c r="G648">
        <f>G647+F648</f>
        <v/>
      </c>
    </row>
    <row r="649">
      <c r="A649" t="inlineStr">
        <is>
          <t>normal_high_14</t>
        </is>
      </c>
      <c r="B649" t="n">
        <v>14</v>
      </c>
      <c r="C649" t="n">
        <v>0.64292</v>
      </c>
      <c r="D649" t="n">
        <v>8</v>
      </c>
      <c r="E649">
        <f>"COMBIN("&amp;B649&amp;","&amp;D649&amp;")*"&amp;C649&amp;"^"&amp;D649&amp;"*(1-"&amp;C649&amp;")^("&amp;B649&amp;"-"&amp;D649&amp;")</f>
        <v/>
      </c>
      <c r="F649">
        <f>COMBIN(B649,D649)*C649^D649*(1-C649)^(B649-D649)</f>
        <v/>
      </c>
      <c r="G649">
        <f>G648+F649</f>
        <v/>
      </c>
    </row>
    <row r="650">
      <c r="A650" t="inlineStr">
        <is>
          <t>normal_high_14</t>
        </is>
      </c>
      <c r="B650" t="n">
        <v>14</v>
      </c>
      <c r="C650" t="n">
        <v>0.64292</v>
      </c>
      <c r="D650" t="n">
        <v>9</v>
      </c>
      <c r="E650">
        <f>"COMBIN("&amp;B650&amp;","&amp;D650&amp;")*"&amp;C650&amp;"^"&amp;D650&amp;"*(1-"&amp;C650&amp;")^("&amp;B650&amp;"-"&amp;D650&amp;")</f>
        <v/>
      </c>
      <c r="F650">
        <f>COMBIN(B650,D650)*C650^D650*(1-C650)^(B650-D650)</f>
        <v/>
      </c>
      <c r="G650">
        <f>G649+F650</f>
        <v/>
      </c>
    </row>
    <row r="651">
      <c r="A651" t="inlineStr">
        <is>
          <t>normal_high_14</t>
        </is>
      </c>
      <c r="B651" t="n">
        <v>14</v>
      </c>
      <c r="C651" t="n">
        <v>0.64292</v>
      </c>
      <c r="D651" t="n">
        <v>10</v>
      </c>
      <c r="E651">
        <f>"COMBIN("&amp;B651&amp;","&amp;D651&amp;")*"&amp;C651&amp;"^"&amp;D651&amp;"*(1-"&amp;C651&amp;")^("&amp;B651&amp;"-"&amp;D651&amp;")</f>
        <v/>
      </c>
      <c r="F651">
        <f>COMBIN(B651,D651)*C651^D651*(1-C651)^(B651-D651)</f>
        <v/>
      </c>
      <c r="G651">
        <f>G650+F651</f>
        <v/>
      </c>
    </row>
    <row r="652">
      <c r="A652" t="inlineStr">
        <is>
          <t>normal_high_14</t>
        </is>
      </c>
      <c r="B652" t="n">
        <v>14</v>
      </c>
      <c r="C652" t="n">
        <v>0.64292</v>
      </c>
      <c r="D652" t="n">
        <v>11</v>
      </c>
      <c r="E652">
        <f>"COMBIN("&amp;B652&amp;","&amp;D652&amp;")*"&amp;C652&amp;"^"&amp;D652&amp;"*(1-"&amp;C652&amp;")^("&amp;B652&amp;"-"&amp;D652&amp;")</f>
        <v/>
      </c>
      <c r="F652">
        <f>COMBIN(B652,D652)*C652^D652*(1-C652)^(B652-D652)</f>
        <v/>
      </c>
      <c r="G652">
        <f>G651+F652</f>
        <v/>
      </c>
    </row>
    <row r="653">
      <c r="A653" t="inlineStr">
        <is>
          <t>normal_high_14</t>
        </is>
      </c>
      <c r="B653" t="n">
        <v>14</v>
      </c>
      <c r="C653" t="n">
        <v>0.64292</v>
      </c>
      <c r="D653" t="n">
        <v>12</v>
      </c>
      <c r="E653">
        <f>"COMBIN("&amp;B653&amp;","&amp;D653&amp;")*"&amp;C653&amp;"^"&amp;D653&amp;"*(1-"&amp;C653&amp;")^("&amp;B653&amp;"-"&amp;D653&amp;")</f>
        <v/>
      </c>
      <c r="F653">
        <f>COMBIN(B653,D653)*C653^D653*(1-C653)^(B653-D653)</f>
        <v/>
      </c>
      <c r="G653">
        <f>G652+F653</f>
        <v/>
      </c>
    </row>
    <row r="654">
      <c r="A654" t="inlineStr">
        <is>
          <t>normal_high_14</t>
        </is>
      </c>
      <c r="B654" t="n">
        <v>14</v>
      </c>
      <c r="C654" t="n">
        <v>0.64292</v>
      </c>
      <c r="D654" t="n">
        <v>13</v>
      </c>
      <c r="E654">
        <f>"COMBIN("&amp;B654&amp;","&amp;D654&amp;")*"&amp;C654&amp;"^"&amp;D654&amp;"*(1-"&amp;C654&amp;")^("&amp;B654&amp;"-"&amp;D654&amp;")</f>
        <v/>
      </c>
      <c r="F654">
        <f>COMBIN(B654,D654)*C654^D654*(1-C654)^(B654-D654)</f>
        <v/>
      </c>
      <c r="G654">
        <f>G653+F654</f>
        <v/>
      </c>
    </row>
    <row r="655">
      <c r="A655" t="inlineStr">
        <is>
          <t>normal_high_14</t>
        </is>
      </c>
      <c r="B655" t="n">
        <v>14</v>
      </c>
      <c r="C655" t="n">
        <v>0.64292</v>
      </c>
      <c r="D655" t="n">
        <v>14</v>
      </c>
      <c r="E655">
        <f>"COMBIN("&amp;B655&amp;","&amp;D655&amp;")*"&amp;C655&amp;"^"&amp;D655&amp;"*(1-"&amp;C655&amp;")^("&amp;B655&amp;"-"&amp;D655&amp;")</f>
        <v/>
      </c>
      <c r="F655">
        <f>COMBIN(B655,D655)*C655^D655*(1-C655)^(B655-D655)</f>
        <v/>
      </c>
      <c r="G655">
        <f>G654+F655</f>
        <v/>
      </c>
    </row>
    <row r="656">
      <c r="A656" t="inlineStr">
        <is>
          <t>normal_high_15</t>
        </is>
      </c>
      <c r="B656" t="n">
        <v>15</v>
      </c>
      <c r="C656" t="n">
        <v>0.63187238</v>
      </c>
      <c r="D656" t="n">
        <v>0</v>
      </c>
      <c r="E656">
        <f>"COMBIN("&amp;B656&amp;","&amp;D656&amp;")*"&amp;C656&amp;"^"&amp;D656&amp;"*(1-"&amp;C656&amp;")^("&amp;B656&amp;"-"&amp;D656&amp;")</f>
        <v/>
      </c>
      <c r="F656">
        <f>COMBIN(B656,D656)*C656^D656*(1-C656)^(B656-D656)</f>
        <v/>
      </c>
      <c r="G656">
        <f>F656</f>
        <v/>
      </c>
      <c r="H656">
        <f>SUM(F656:F671)</f>
        <v/>
      </c>
    </row>
    <row r="657">
      <c r="A657" t="inlineStr">
        <is>
          <t>normal_high_15</t>
        </is>
      </c>
      <c r="B657" t="n">
        <v>15</v>
      </c>
      <c r="C657" t="n">
        <v>0.63187238</v>
      </c>
      <c r="D657" t="n">
        <v>1</v>
      </c>
      <c r="E657">
        <f>"COMBIN("&amp;B657&amp;","&amp;D657&amp;")*"&amp;C657&amp;"^"&amp;D657&amp;"*(1-"&amp;C657&amp;")^("&amp;B657&amp;"-"&amp;D657&amp;")</f>
        <v/>
      </c>
      <c r="F657">
        <f>COMBIN(B657,D657)*C657^D657*(1-C657)^(B657-D657)</f>
        <v/>
      </c>
      <c r="G657">
        <f>G656+F657</f>
        <v/>
      </c>
    </row>
    <row r="658">
      <c r="A658" t="inlineStr">
        <is>
          <t>normal_high_15</t>
        </is>
      </c>
      <c r="B658" t="n">
        <v>15</v>
      </c>
      <c r="C658" t="n">
        <v>0.63187238</v>
      </c>
      <c r="D658" t="n">
        <v>2</v>
      </c>
      <c r="E658">
        <f>"COMBIN("&amp;B658&amp;","&amp;D658&amp;")*"&amp;C658&amp;"^"&amp;D658&amp;"*(1-"&amp;C658&amp;")^("&amp;B658&amp;"-"&amp;D658&amp;")</f>
        <v/>
      </c>
      <c r="F658">
        <f>COMBIN(B658,D658)*C658^D658*(1-C658)^(B658-D658)</f>
        <v/>
      </c>
      <c r="G658">
        <f>G657+F658</f>
        <v/>
      </c>
    </row>
    <row r="659">
      <c r="A659" t="inlineStr">
        <is>
          <t>normal_high_15</t>
        </is>
      </c>
      <c r="B659" t="n">
        <v>15</v>
      </c>
      <c r="C659" t="n">
        <v>0.63187238</v>
      </c>
      <c r="D659" t="n">
        <v>3</v>
      </c>
      <c r="E659">
        <f>"COMBIN("&amp;B659&amp;","&amp;D659&amp;")*"&amp;C659&amp;"^"&amp;D659&amp;"*(1-"&amp;C659&amp;")^("&amp;B659&amp;"-"&amp;D659&amp;")</f>
        <v/>
      </c>
      <c r="F659">
        <f>COMBIN(B659,D659)*C659^D659*(1-C659)^(B659-D659)</f>
        <v/>
      </c>
      <c r="G659">
        <f>G658+F659</f>
        <v/>
      </c>
    </row>
    <row r="660">
      <c r="A660" t="inlineStr">
        <is>
          <t>normal_high_15</t>
        </is>
      </c>
      <c r="B660" t="n">
        <v>15</v>
      </c>
      <c r="C660" t="n">
        <v>0.63187238</v>
      </c>
      <c r="D660" t="n">
        <v>4</v>
      </c>
      <c r="E660">
        <f>"COMBIN("&amp;B660&amp;","&amp;D660&amp;")*"&amp;C660&amp;"^"&amp;D660&amp;"*(1-"&amp;C660&amp;")^("&amp;B660&amp;"-"&amp;D660&amp;")</f>
        <v/>
      </c>
      <c r="F660">
        <f>COMBIN(B660,D660)*C660^D660*(1-C660)^(B660-D660)</f>
        <v/>
      </c>
      <c r="G660">
        <f>G659+F660</f>
        <v/>
      </c>
    </row>
    <row r="661">
      <c r="A661" t="inlineStr">
        <is>
          <t>normal_high_15</t>
        </is>
      </c>
      <c r="B661" t="n">
        <v>15</v>
      </c>
      <c r="C661" t="n">
        <v>0.63187238</v>
      </c>
      <c r="D661" t="n">
        <v>5</v>
      </c>
      <c r="E661">
        <f>"COMBIN("&amp;B661&amp;","&amp;D661&amp;")*"&amp;C661&amp;"^"&amp;D661&amp;"*(1-"&amp;C661&amp;")^("&amp;B661&amp;"-"&amp;D661&amp;")</f>
        <v/>
      </c>
      <c r="F661">
        <f>COMBIN(B661,D661)*C661^D661*(1-C661)^(B661-D661)</f>
        <v/>
      </c>
      <c r="G661">
        <f>G660+F661</f>
        <v/>
      </c>
    </row>
    <row r="662">
      <c r="A662" t="inlineStr">
        <is>
          <t>normal_high_15</t>
        </is>
      </c>
      <c r="B662" t="n">
        <v>15</v>
      </c>
      <c r="C662" t="n">
        <v>0.63187238</v>
      </c>
      <c r="D662" t="n">
        <v>6</v>
      </c>
      <c r="E662">
        <f>"COMBIN("&amp;B662&amp;","&amp;D662&amp;")*"&amp;C662&amp;"^"&amp;D662&amp;"*(1-"&amp;C662&amp;")^("&amp;B662&amp;"-"&amp;D662&amp;")</f>
        <v/>
      </c>
      <c r="F662">
        <f>COMBIN(B662,D662)*C662^D662*(1-C662)^(B662-D662)</f>
        <v/>
      </c>
      <c r="G662">
        <f>G661+F662</f>
        <v/>
      </c>
    </row>
    <row r="663">
      <c r="A663" t="inlineStr">
        <is>
          <t>normal_high_15</t>
        </is>
      </c>
      <c r="B663" t="n">
        <v>15</v>
      </c>
      <c r="C663" t="n">
        <v>0.63187238</v>
      </c>
      <c r="D663" t="n">
        <v>7</v>
      </c>
      <c r="E663">
        <f>"COMBIN("&amp;B663&amp;","&amp;D663&amp;")*"&amp;C663&amp;"^"&amp;D663&amp;"*(1-"&amp;C663&amp;")^("&amp;B663&amp;"-"&amp;D663&amp;")</f>
        <v/>
      </c>
      <c r="F663">
        <f>COMBIN(B663,D663)*C663^D663*(1-C663)^(B663-D663)</f>
        <v/>
      </c>
      <c r="G663">
        <f>G662+F663</f>
        <v/>
      </c>
    </row>
    <row r="664">
      <c r="A664" t="inlineStr">
        <is>
          <t>normal_high_15</t>
        </is>
      </c>
      <c r="B664" t="n">
        <v>15</v>
      </c>
      <c r="C664" t="n">
        <v>0.63187238</v>
      </c>
      <c r="D664" t="n">
        <v>8</v>
      </c>
      <c r="E664">
        <f>"COMBIN("&amp;B664&amp;","&amp;D664&amp;")*"&amp;C664&amp;"^"&amp;D664&amp;"*(1-"&amp;C664&amp;")^("&amp;B664&amp;"-"&amp;D664&amp;")</f>
        <v/>
      </c>
      <c r="F664">
        <f>COMBIN(B664,D664)*C664^D664*(1-C664)^(B664-D664)</f>
        <v/>
      </c>
      <c r="G664">
        <f>G663+F664</f>
        <v/>
      </c>
    </row>
    <row r="665">
      <c r="A665" t="inlineStr">
        <is>
          <t>normal_high_15</t>
        </is>
      </c>
      <c r="B665" t="n">
        <v>15</v>
      </c>
      <c r="C665" t="n">
        <v>0.63187238</v>
      </c>
      <c r="D665" t="n">
        <v>9</v>
      </c>
      <c r="E665">
        <f>"COMBIN("&amp;B665&amp;","&amp;D665&amp;")*"&amp;C665&amp;"^"&amp;D665&amp;"*(1-"&amp;C665&amp;")^("&amp;B665&amp;"-"&amp;D665&amp;")</f>
        <v/>
      </c>
      <c r="F665">
        <f>COMBIN(B665,D665)*C665^D665*(1-C665)^(B665-D665)</f>
        <v/>
      </c>
      <c r="G665">
        <f>G664+F665</f>
        <v/>
      </c>
    </row>
    <row r="666">
      <c r="A666" t="inlineStr">
        <is>
          <t>normal_high_15</t>
        </is>
      </c>
      <c r="B666" t="n">
        <v>15</v>
      </c>
      <c r="C666" t="n">
        <v>0.63187238</v>
      </c>
      <c r="D666" t="n">
        <v>10</v>
      </c>
      <c r="E666">
        <f>"COMBIN("&amp;B666&amp;","&amp;D666&amp;")*"&amp;C666&amp;"^"&amp;D666&amp;"*(1-"&amp;C666&amp;")^("&amp;B666&amp;"-"&amp;D666&amp;")</f>
        <v/>
      </c>
      <c r="F666">
        <f>COMBIN(B666,D666)*C666^D666*(1-C666)^(B666-D666)</f>
        <v/>
      </c>
      <c r="G666">
        <f>G665+F666</f>
        <v/>
      </c>
    </row>
    <row r="667">
      <c r="A667" t="inlineStr">
        <is>
          <t>normal_high_15</t>
        </is>
      </c>
      <c r="B667" t="n">
        <v>15</v>
      </c>
      <c r="C667" t="n">
        <v>0.63187238</v>
      </c>
      <c r="D667" t="n">
        <v>11</v>
      </c>
      <c r="E667">
        <f>"COMBIN("&amp;B667&amp;","&amp;D667&amp;")*"&amp;C667&amp;"^"&amp;D667&amp;"*(1-"&amp;C667&amp;")^("&amp;B667&amp;"-"&amp;D667&amp;")</f>
        <v/>
      </c>
      <c r="F667">
        <f>COMBIN(B667,D667)*C667^D667*(1-C667)^(B667-D667)</f>
        <v/>
      </c>
      <c r="G667">
        <f>G666+F667</f>
        <v/>
      </c>
    </row>
    <row r="668">
      <c r="A668" t="inlineStr">
        <is>
          <t>normal_high_15</t>
        </is>
      </c>
      <c r="B668" t="n">
        <v>15</v>
      </c>
      <c r="C668" t="n">
        <v>0.63187238</v>
      </c>
      <c r="D668" t="n">
        <v>12</v>
      </c>
      <c r="E668">
        <f>"COMBIN("&amp;B668&amp;","&amp;D668&amp;")*"&amp;C668&amp;"^"&amp;D668&amp;"*(1-"&amp;C668&amp;")^("&amp;B668&amp;"-"&amp;D668&amp;")</f>
        <v/>
      </c>
      <c r="F668">
        <f>COMBIN(B668,D668)*C668^D668*(1-C668)^(B668-D668)</f>
        <v/>
      </c>
      <c r="G668">
        <f>G667+F668</f>
        <v/>
      </c>
    </row>
    <row r="669">
      <c r="A669" t="inlineStr">
        <is>
          <t>normal_high_15</t>
        </is>
      </c>
      <c r="B669" t="n">
        <v>15</v>
      </c>
      <c r="C669" t="n">
        <v>0.63187238</v>
      </c>
      <c r="D669" t="n">
        <v>13</v>
      </c>
      <c r="E669">
        <f>"COMBIN("&amp;B669&amp;","&amp;D669&amp;")*"&amp;C669&amp;"^"&amp;D669&amp;"*(1-"&amp;C669&amp;")^("&amp;B669&amp;"-"&amp;D669&amp;")</f>
        <v/>
      </c>
      <c r="F669">
        <f>COMBIN(B669,D669)*C669^D669*(1-C669)^(B669-D669)</f>
        <v/>
      </c>
      <c r="G669">
        <f>G668+F669</f>
        <v/>
      </c>
    </row>
    <row r="670">
      <c r="A670" t="inlineStr">
        <is>
          <t>normal_high_15</t>
        </is>
      </c>
      <c r="B670" t="n">
        <v>15</v>
      </c>
      <c r="C670" t="n">
        <v>0.63187238</v>
      </c>
      <c r="D670" t="n">
        <v>14</v>
      </c>
      <c r="E670">
        <f>"COMBIN("&amp;B670&amp;","&amp;D670&amp;")*"&amp;C670&amp;"^"&amp;D670&amp;"*(1-"&amp;C670&amp;")^("&amp;B670&amp;"-"&amp;D670&amp;")</f>
        <v/>
      </c>
      <c r="F670">
        <f>COMBIN(B670,D670)*C670^D670*(1-C670)^(B670-D670)</f>
        <v/>
      </c>
      <c r="G670">
        <f>G669+F670</f>
        <v/>
      </c>
    </row>
    <row r="671">
      <c r="A671" t="inlineStr">
        <is>
          <t>normal_high_15</t>
        </is>
      </c>
      <c r="B671" t="n">
        <v>15</v>
      </c>
      <c r="C671" t="n">
        <v>0.63187238</v>
      </c>
      <c r="D671" t="n">
        <v>15</v>
      </c>
      <c r="E671">
        <f>"COMBIN("&amp;B671&amp;","&amp;D671&amp;")*"&amp;C671&amp;"^"&amp;D671&amp;"*(1-"&amp;C671&amp;")^("&amp;B671&amp;"-"&amp;D671&amp;")</f>
        <v/>
      </c>
      <c r="F671">
        <f>COMBIN(B671,D671)*C671^D671*(1-C671)^(B671-D671)</f>
        <v/>
      </c>
      <c r="G671">
        <f>G670+F671</f>
        <v/>
      </c>
    </row>
    <row r="672">
      <c r="A672" t="inlineStr">
        <is>
          <t>normal_high_16</t>
        </is>
      </c>
      <c r="B672" t="n">
        <v>16</v>
      </c>
      <c r="C672" t="n">
        <v>0.60959782</v>
      </c>
      <c r="D672" t="n">
        <v>0</v>
      </c>
      <c r="E672">
        <f>"COMBIN("&amp;B672&amp;","&amp;D672&amp;")*"&amp;C672&amp;"^"&amp;D672&amp;"*(1-"&amp;C672&amp;")^("&amp;B672&amp;"-"&amp;D672&amp;")</f>
        <v/>
      </c>
      <c r="F672">
        <f>COMBIN(B672,D672)*C672^D672*(1-C672)^(B672-D672)</f>
        <v/>
      </c>
      <c r="G672">
        <f>F672</f>
        <v/>
      </c>
      <c r="H672">
        <f>SUM(F672:F688)</f>
        <v/>
      </c>
    </row>
    <row r="673">
      <c r="A673" t="inlineStr">
        <is>
          <t>normal_high_16</t>
        </is>
      </c>
      <c r="B673" t="n">
        <v>16</v>
      </c>
      <c r="C673" t="n">
        <v>0.60959782</v>
      </c>
      <c r="D673" t="n">
        <v>1</v>
      </c>
      <c r="E673">
        <f>"COMBIN("&amp;B673&amp;","&amp;D673&amp;")*"&amp;C673&amp;"^"&amp;D673&amp;"*(1-"&amp;C673&amp;")^("&amp;B673&amp;"-"&amp;D673&amp;")</f>
        <v/>
      </c>
      <c r="F673">
        <f>COMBIN(B673,D673)*C673^D673*(1-C673)^(B673-D673)</f>
        <v/>
      </c>
      <c r="G673">
        <f>G672+F673</f>
        <v/>
      </c>
    </row>
    <row r="674">
      <c r="A674" t="inlineStr">
        <is>
          <t>normal_high_16</t>
        </is>
      </c>
      <c r="B674" t="n">
        <v>16</v>
      </c>
      <c r="C674" t="n">
        <v>0.60959782</v>
      </c>
      <c r="D674" t="n">
        <v>2</v>
      </c>
      <c r="E674">
        <f>"COMBIN("&amp;B674&amp;","&amp;D674&amp;")*"&amp;C674&amp;"^"&amp;D674&amp;"*(1-"&amp;C674&amp;")^("&amp;B674&amp;"-"&amp;D674&amp;")</f>
        <v/>
      </c>
      <c r="F674">
        <f>COMBIN(B674,D674)*C674^D674*(1-C674)^(B674-D674)</f>
        <v/>
      </c>
      <c r="G674">
        <f>G673+F674</f>
        <v/>
      </c>
    </row>
    <row r="675">
      <c r="A675" t="inlineStr">
        <is>
          <t>normal_high_16</t>
        </is>
      </c>
      <c r="B675" t="n">
        <v>16</v>
      </c>
      <c r="C675" t="n">
        <v>0.60959782</v>
      </c>
      <c r="D675" t="n">
        <v>3</v>
      </c>
      <c r="E675">
        <f>"COMBIN("&amp;B675&amp;","&amp;D675&amp;")*"&amp;C675&amp;"^"&amp;D675&amp;"*(1-"&amp;C675&amp;")^("&amp;B675&amp;"-"&amp;D675&amp;")</f>
        <v/>
      </c>
      <c r="F675">
        <f>COMBIN(B675,D675)*C675^D675*(1-C675)^(B675-D675)</f>
        <v/>
      </c>
      <c r="G675">
        <f>G674+F675</f>
        <v/>
      </c>
    </row>
    <row r="676">
      <c r="A676" t="inlineStr">
        <is>
          <t>normal_high_16</t>
        </is>
      </c>
      <c r="B676" t="n">
        <v>16</v>
      </c>
      <c r="C676" t="n">
        <v>0.60959782</v>
      </c>
      <c r="D676" t="n">
        <v>4</v>
      </c>
      <c r="E676">
        <f>"COMBIN("&amp;B676&amp;","&amp;D676&amp;")*"&amp;C676&amp;"^"&amp;D676&amp;"*(1-"&amp;C676&amp;")^("&amp;B676&amp;"-"&amp;D676&amp;")</f>
        <v/>
      </c>
      <c r="F676">
        <f>COMBIN(B676,D676)*C676^D676*(1-C676)^(B676-D676)</f>
        <v/>
      </c>
      <c r="G676">
        <f>G675+F676</f>
        <v/>
      </c>
    </row>
    <row r="677">
      <c r="A677" t="inlineStr">
        <is>
          <t>normal_high_16</t>
        </is>
      </c>
      <c r="B677" t="n">
        <v>16</v>
      </c>
      <c r="C677" t="n">
        <v>0.60959782</v>
      </c>
      <c r="D677" t="n">
        <v>5</v>
      </c>
      <c r="E677">
        <f>"COMBIN("&amp;B677&amp;","&amp;D677&amp;")*"&amp;C677&amp;"^"&amp;D677&amp;"*(1-"&amp;C677&amp;")^("&amp;B677&amp;"-"&amp;D677&amp;")</f>
        <v/>
      </c>
      <c r="F677">
        <f>COMBIN(B677,D677)*C677^D677*(1-C677)^(B677-D677)</f>
        <v/>
      </c>
      <c r="G677">
        <f>G676+F677</f>
        <v/>
      </c>
    </row>
    <row r="678">
      <c r="A678" t="inlineStr">
        <is>
          <t>normal_high_16</t>
        </is>
      </c>
      <c r="B678" t="n">
        <v>16</v>
      </c>
      <c r="C678" t="n">
        <v>0.60959782</v>
      </c>
      <c r="D678" t="n">
        <v>6</v>
      </c>
      <c r="E678">
        <f>"COMBIN("&amp;B678&amp;","&amp;D678&amp;")*"&amp;C678&amp;"^"&amp;D678&amp;"*(1-"&amp;C678&amp;")^("&amp;B678&amp;"-"&amp;D678&amp;")</f>
        <v/>
      </c>
      <c r="F678">
        <f>COMBIN(B678,D678)*C678^D678*(1-C678)^(B678-D678)</f>
        <v/>
      </c>
      <c r="G678">
        <f>G677+F678</f>
        <v/>
      </c>
    </row>
    <row r="679">
      <c r="A679" t="inlineStr">
        <is>
          <t>normal_high_16</t>
        </is>
      </c>
      <c r="B679" t="n">
        <v>16</v>
      </c>
      <c r="C679" t="n">
        <v>0.60959782</v>
      </c>
      <c r="D679" t="n">
        <v>7</v>
      </c>
      <c r="E679">
        <f>"COMBIN("&amp;B679&amp;","&amp;D679&amp;")*"&amp;C679&amp;"^"&amp;D679&amp;"*(1-"&amp;C679&amp;")^("&amp;B679&amp;"-"&amp;D679&amp;")</f>
        <v/>
      </c>
      <c r="F679">
        <f>COMBIN(B679,D679)*C679^D679*(1-C679)^(B679-D679)</f>
        <v/>
      </c>
      <c r="G679">
        <f>G678+F679</f>
        <v/>
      </c>
    </row>
    <row r="680">
      <c r="A680" t="inlineStr">
        <is>
          <t>normal_high_16</t>
        </is>
      </c>
      <c r="B680" t="n">
        <v>16</v>
      </c>
      <c r="C680" t="n">
        <v>0.60959782</v>
      </c>
      <c r="D680" t="n">
        <v>8</v>
      </c>
      <c r="E680">
        <f>"COMBIN("&amp;B680&amp;","&amp;D680&amp;")*"&amp;C680&amp;"^"&amp;D680&amp;"*(1-"&amp;C680&amp;")^("&amp;B680&amp;"-"&amp;D680&amp;")</f>
        <v/>
      </c>
      <c r="F680">
        <f>COMBIN(B680,D680)*C680^D680*(1-C680)^(B680-D680)</f>
        <v/>
      </c>
      <c r="G680">
        <f>G679+F680</f>
        <v/>
      </c>
    </row>
    <row r="681">
      <c r="A681" t="inlineStr">
        <is>
          <t>normal_high_16</t>
        </is>
      </c>
      <c r="B681" t="n">
        <v>16</v>
      </c>
      <c r="C681" t="n">
        <v>0.60959782</v>
      </c>
      <c r="D681" t="n">
        <v>9</v>
      </c>
      <c r="E681">
        <f>"COMBIN("&amp;B681&amp;","&amp;D681&amp;")*"&amp;C681&amp;"^"&amp;D681&amp;"*(1-"&amp;C681&amp;")^("&amp;B681&amp;"-"&amp;D681&amp;")</f>
        <v/>
      </c>
      <c r="F681">
        <f>COMBIN(B681,D681)*C681^D681*(1-C681)^(B681-D681)</f>
        <v/>
      </c>
      <c r="G681">
        <f>G680+F681</f>
        <v/>
      </c>
    </row>
    <row r="682">
      <c r="A682" t="inlineStr">
        <is>
          <t>normal_high_16</t>
        </is>
      </c>
      <c r="B682" t="n">
        <v>16</v>
      </c>
      <c r="C682" t="n">
        <v>0.60959782</v>
      </c>
      <c r="D682" t="n">
        <v>10</v>
      </c>
      <c r="E682">
        <f>"COMBIN("&amp;B682&amp;","&amp;D682&amp;")*"&amp;C682&amp;"^"&amp;D682&amp;"*(1-"&amp;C682&amp;")^("&amp;B682&amp;"-"&amp;D682&amp;")</f>
        <v/>
      </c>
      <c r="F682">
        <f>COMBIN(B682,D682)*C682^D682*(1-C682)^(B682-D682)</f>
        <v/>
      </c>
      <c r="G682">
        <f>G681+F682</f>
        <v/>
      </c>
    </row>
    <row r="683">
      <c r="A683" t="inlineStr">
        <is>
          <t>normal_high_16</t>
        </is>
      </c>
      <c r="B683" t="n">
        <v>16</v>
      </c>
      <c r="C683" t="n">
        <v>0.60959782</v>
      </c>
      <c r="D683" t="n">
        <v>11</v>
      </c>
      <c r="E683">
        <f>"COMBIN("&amp;B683&amp;","&amp;D683&amp;")*"&amp;C683&amp;"^"&amp;D683&amp;"*(1-"&amp;C683&amp;")^("&amp;B683&amp;"-"&amp;D683&amp;")</f>
        <v/>
      </c>
      <c r="F683">
        <f>COMBIN(B683,D683)*C683^D683*(1-C683)^(B683-D683)</f>
        <v/>
      </c>
      <c r="G683">
        <f>G682+F683</f>
        <v/>
      </c>
    </row>
    <row r="684">
      <c r="A684" t="inlineStr">
        <is>
          <t>normal_high_16</t>
        </is>
      </c>
      <c r="B684" t="n">
        <v>16</v>
      </c>
      <c r="C684" t="n">
        <v>0.60959782</v>
      </c>
      <c r="D684" t="n">
        <v>12</v>
      </c>
      <c r="E684">
        <f>"COMBIN("&amp;B684&amp;","&amp;D684&amp;")*"&amp;C684&amp;"^"&amp;D684&amp;"*(1-"&amp;C684&amp;")^("&amp;B684&amp;"-"&amp;D684&amp;")</f>
        <v/>
      </c>
      <c r="F684">
        <f>COMBIN(B684,D684)*C684^D684*(1-C684)^(B684-D684)</f>
        <v/>
      </c>
      <c r="G684">
        <f>G683+F684</f>
        <v/>
      </c>
    </row>
    <row r="685">
      <c r="A685" t="inlineStr">
        <is>
          <t>normal_high_16</t>
        </is>
      </c>
      <c r="B685" t="n">
        <v>16</v>
      </c>
      <c r="C685" t="n">
        <v>0.60959782</v>
      </c>
      <c r="D685" t="n">
        <v>13</v>
      </c>
      <c r="E685">
        <f>"COMBIN("&amp;B685&amp;","&amp;D685&amp;")*"&amp;C685&amp;"^"&amp;D685&amp;"*(1-"&amp;C685&amp;")^("&amp;B685&amp;"-"&amp;D685&amp;")</f>
        <v/>
      </c>
      <c r="F685">
        <f>COMBIN(B685,D685)*C685^D685*(1-C685)^(B685-D685)</f>
        <v/>
      </c>
      <c r="G685">
        <f>G684+F685</f>
        <v/>
      </c>
    </row>
    <row r="686">
      <c r="A686" t="inlineStr">
        <is>
          <t>normal_high_16</t>
        </is>
      </c>
      <c r="B686" t="n">
        <v>16</v>
      </c>
      <c r="C686" t="n">
        <v>0.60959782</v>
      </c>
      <c r="D686" t="n">
        <v>14</v>
      </c>
      <c r="E686">
        <f>"COMBIN("&amp;B686&amp;","&amp;D686&amp;")*"&amp;C686&amp;"^"&amp;D686&amp;"*(1-"&amp;C686&amp;")^("&amp;B686&amp;"-"&amp;D686&amp;")</f>
        <v/>
      </c>
      <c r="F686">
        <f>COMBIN(B686,D686)*C686^D686*(1-C686)^(B686-D686)</f>
        <v/>
      </c>
      <c r="G686">
        <f>G685+F686</f>
        <v/>
      </c>
    </row>
    <row r="687">
      <c r="A687" t="inlineStr">
        <is>
          <t>normal_high_16</t>
        </is>
      </c>
      <c r="B687" t="n">
        <v>16</v>
      </c>
      <c r="C687" t="n">
        <v>0.60959782</v>
      </c>
      <c r="D687" t="n">
        <v>15</v>
      </c>
      <c r="E687">
        <f>"COMBIN("&amp;B687&amp;","&amp;D687&amp;")*"&amp;C687&amp;"^"&amp;D687&amp;"*(1-"&amp;C687&amp;")^("&amp;B687&amp;"-"&amp;D687&amp;")</f>
        <v/>
      </c>
      <c r="F687">
        <f>COMBIN(B687,D687)*C687^D687*(1-C687)^(B687-D687)</f>
        <v/>
      </c>
      <c r="G687">
        <f>G686+F687</f>
        <v/>
      </c>
    </row>
    <row r="688">
      <c r="A688" t="inlineStr">
        <is>
          <t>normal_high_16</t>
        </is>
      </c>
      <c r="B688" t="n">
        <v>16</v>
      </c>
      <c r="C688" t="n">
        <v>0.60959782</v>
      </c>
      <c r="D688" t="n">
        <v>16</v>
      </c>
      <c r="E688">
        <f>"COMBIN("&amp;B688&amp;","&amp;D688&amp;")*"&amp;C688&amp;"^"&amp;D688&amp;"*(1-"&amp;C688&amp;")^("&amp;B688&amp;"-"&amp;D688&amp;")</f>
        <v/>
      </c>
      <c r="F688">
        <f>COMBIN(B688,D688)*C688^D688*(1-C688)^(B688-D688)</f>
        <v/>
      </c>
      <c r="G688">
        <f>G687+F688</f>
        <v/>
      </c>
    </row>
    <row r="689">
      <c r="A689" t="inlineStr">
        <is>
          <t>normal_high_8</t>
        </is>
      </c>
      <c r="B689" t="n">
        <v>8</v>
      </c>
      <c r="C689" t="n">
        <v>0.64492461</v>
      </c>
      <c r="D689" t="n">
        <v>0</v>
      </c>
      <c r="E689">
        <f>"COMBIN("&amp;B689&amp;","&amp;D689&amp;")*"&amp;C689&amp;"^"&amp;D689&amp;"*(1-"&amp;C689&amp;")^("&amp;B689&amp;"-"&amp;D689&amp;")</f>
        <v/>
      </c>
      <c r="F689">
        <f>COMBIN(B689,D689)*C689^D689*(1-C689)^(B689-D689)</f>
        <v/>
      </c>
      <c r="G689">
        <f>F689</f>
        <v/>
      </c>
      <c r="H689">
        <f>SUM(F689:F697)</f>
        <v/>
      </c>
    </row>
    <row r="690">
      <c r="A690" t="inlineStr">
        <is>
          <t>normal_high_8</t>
        </is>
      </c>
      <c r="B690" t="n">
        <v>8</v>
      </c>
      <c r="C690" t="n">
        <v>0.64492461</v>
      </c>
      <c r="D690" t="n">
        <v>1</v>
      </c>
      <c r="E690">
        <f>"COMBIN("&amp;B690&amp;","&amp;D690&amp;")*"&amp;C690&amp;"^"&amp;D690&amp;"*(1-"&amp;C690&amp;")^("&amp;B690&amp;"-"&amp;D690&amp;")</f>
        <v/>
      </c>
      <c r="F690">
        <f>COMBIN(B690,D690)*C690^D690*(1-C690)^(B690-D690)</f>
        <v/>
      </c>
      <c r="G690">
        <f>G689+F690</f>
        <v/>
      </c>
    </row>
    <row r="691">
      <c r="A691" t="inlineStr">
        <is>
          <t>normal_high_8</t>
        </is>
      </c>
      <c r="B691" t="n">
        <v>8</v>
      </c>
      <c r="C691" t="n">
        <v>0.64492461</v>
      </c>
      <c r="D691" t="n">
        <v>2</v>
      </c>
      <c r="E691">
        <f>"COMBIN("&amp;B691&amp;","&amp;D691&amp;")*"&amp;C691&amp;"^"&amp;D691&amp;"*(1-"&amp;C691&amp;")^("&amp;B691&amp;"-"&amp;D691&amp;")</f>
        <v/>
      </c>
      <c r="F691">
        <f>COMBIN(B691,D691)*C691^D691*(1-C691)^(B691-D691)</f>
        <v/>
      </c>
      <c r="G691">
        <f>G690+F691</f>
        <v/>
      </c>
    </row>
    <row r="692">
      <c r="A692" t="inlineStr">
        <is>
          <t>normal_high_8</t>
        </is>
      </c>
      <c r="B692" t="n">
        <v>8</v>
      </c>
      <c r="C692" t="n">
        <v>0.64492461</v>
      </c>
      <c r="D692" t="n">
        <v>3</v>
      </c>
      <c r="E692">
        <f>"COMBIN("&amp;B692&amp;","&amp;D692&amp;")*"&amp;C692&amp;"^"&amp;D692&amp;"*(1-"&amp;C692&amp;")^("&amp;B692&amp;"-"&amp;D692&amp;")</f>
        <v/>
      </c>
      <c r="F692">
        <f>COMBIN(B692,D692)*C692^D692*(1-C692)^(B692-D692)</f>
        <v/>
      </c>
      <c r="G692">
        <f>G691+F692</f>
        <v/>
      </c>
    </row>
    <row r="693">
      <c r="A693" t="inlineStr">
        <is>
          <t>normal_high_8</t>
        </is>
      </c>
      <c r="B693" t="n">
        <v>8</v>
      </c>
      <c r="C693" t="n">
        <v>0.64492461</v>
      </c>
      <c r="D693" t="n">
        <v>4</v>
      </c>
      <c r="E693">
        <f>"COMBIN("&amp;B693&amp;","&amp;D693&amp;")*"&amp;C693&amp;"^"&amp;D693&amp;"*(1-"&amp;C693&amp;")^("&amp;B693&amp;"-"&amp;D693&amp;")</f>
        <v/>
      </c>
      <c r="F693">
        <f>COMBIN(B693,D693)*C693^D693*(1-C693)^(B693-D693)</f>
        <v/>
      </c>
      <c r="G693">
        <f>G692+F693</f>
        <v/>
      </c>
    </row>
    <row r="694">
      <c r="A694" t="inlineStr">
        <is>
          <t>normal_high_8</t>
        </is>
      </c>
      <c r="B694" t="n">
        <v>8</v>
      </c>
      <c r="C694" t="n">
        <v>0.64492461</v>
      </c>
      <c r="D694" t="n">
        <v>5</v>
      </c>
      <c r="E694">
        <f>"COMBIN("&amp;B694&amp;","&amp;D694&amp;")*"&amp;C694&amp;"^"&amp;D694&amp;"*(1-"&amp;C694&amp;")^("&amp;B694&amp;"-"&amp;D694&amp;")</f>
        <v/>
      </c>
      <c r="F694">
        <f>COMBIN(B694,D694)*C694^D694*(1-C694)^(B694-D694)</f>
        <v/>
      </c>
      <c r="G694">
        <f>G693+F694</f>
        <v/>
      </c>
    </row>
    <row r="695">
      <c r="A695" t="inlineStr">
        <is>
          <t>normal_high_8</t>
        </is>
      </c>
      <c r="B695" t="n">
        <v>8</v>
      </c>
      <c r="C695" t="n">
        <v>0.64492461</v>
      </c>
      <c r="D695" t="n">
        <v>6</v>
      </c>
      <c r="E695">
        <f>"COMBIN("&amp;B695&amp;","&amp;D695&amp;")*"&amp;C695&amp;"^"&amp;D695&amp;"*(1-"&amp;C695&amp;")^("&amp;B695&amp;"-"&amp;D695&amp;")</f>
        <v/>
      </c>
      <c r="F695">
        <f>COMBIN(B695,D695)*C695^D695*(1-C695)^(B695-D695)</f>
        <v/>
      </c>
      <c r="G695">
        <f>G694+F695</f>
        <v/>
      </c>
    </row>
    <row r="696">
      <c r="A696" t="inlineStr">
        <is>
          <t>normal_high_8</t>
        </is>
      </c>
      <c r="B696" t="n">
        <v>8</v>
      </c>
      <c r="C696" t="n">
        <v>0.64492461</v>
      </c>
      <c r="D696" t="n">
        <v>7</v>
      </c>
      <c r="E696">
        <f>"COMBIN("&amp;B696&amp;","&amp;D696&amp;")*"&amp;C696&amp;"^"&amp;D696&amp;"*(1-"&amp;C696&amp;")^("&amp;B696&amp;"-"&amp;D696&amp;")</f>
        <v/>
      </c>
      <c r="F696">
        <f>COMBIN(B696,D696)*C696^D696*(1-C696)^(B696-D696)</f>
        <v/>
      </c>
      <c r="G696">
        <f>G695+F696</f>
        <v/>
      </c>
    </row>
    <row r="697">
      <c r="A697" t="inlineStr">
        <is>
          <t>normal_high_8</t>
        </is>
      </c>
      <c r="B697" t="n">
        <v>8</v>
      </c>
      <c r="C697" t="n">
        <v>0.64492461</v>
      </c>
      <c r="D697" t="n">
        <v>8</v>
      </c>
      <c r="E697">
        <f>"COMBIN("&amp;B697&amp;","&amp;D697&amp;")*"&amp;C697&amp;"^"&amp;D697&amp;"*(1-"&amp;C697&amp;")^("&amp;B697&amp;"-"&amp;D697&amp;")</f>
        <v/>
      </c>
      <c r="F697">
        <f>COMBIN(B697,D697)*C697^D697*(1-C697)^(B697-D697)</f>
        <v/>
      </c>
      <c r="G697">
        <f>G696+F697</f>
        <v/>
      </c>
    </row>
    <row r="698">
      <c r="A698" t="inlineStr">
        <is>
          <t>normal_high_9</t>
        </is>
      </c>
      <c r="B698" t="n">
        <v>9</v>
      </c>
      <c r="C698" t="n">
        <v>0.64806741</v>
      </c>
      <c r="D698" t="n">
        <v>0</v>
      </c>
      <c r="E698">
        <f>"COMBIN("&amp;B698&amp;","&amp;D698&amp;")*"&amp;C698&amp;"^"&amp;D698&amp;"*(1-"&amp;C698&amp;")^("&amp;B698&amp;"-"&amp;D698&amp;")</f>
        <v/>
      </c>
      <c r="F698">
        <f>COMBIN(B698,D698)*C698^D698*(1-C698)^(B698-D698)</f>
        <v/>
      </c>
      <c r="G698">
        <f>F698</f>
        <v/>
      </c>
      <c r="H698">
        <f>SUM(F698:F707)</f>
        <v/>
      </c>
    </row>
    <row r="699">
      <c r="A699" t="inlineStr">
        <is>
          <t>normal_high_9</t>
        </is>
      </c>
      <c r="B699" t="n">
        <v>9</v>
      </c>
      <c r="C699" t="n">
        <v>0.64806741</v>
      </c>
      <c r="D699" t="n">
        <v>1</v>
      </c>
      <c r="E699">
        <f>"COMBIN("&amp;B699&amp;","&amp;D699&amp;")*"&amp;C699&amp;"^"&amp;D699&amp;"*(1-"&amp;C699&amp;")^("&amp;B699&amp;"-"&amp;D699&amp;")</f>
        <v/>
      </c>
      <c r="F699">
        <f>COMBIN(B699,D699)*C699^D699*(1-C699)^(B699-D699)</f>
        <v/>
      </c>
      <c r="G699">
        <f>G698+F699</f>
        <v/>
      </c>
    </row>
    <row r="700">
      <c r="A700" t="inlineStr">
        <is>
          <t>normal_high_9</t>
        </is>
      </c>
      <c r="B700" t="n">
        <v>9</v>
      </c>
      <c r="C700" t="n">
        <v>0.64806741</v>
      </c>
      <c r="D700" t="n">
        <v>2</v>
      </c>
      <c r="E700">
        <f>"COMBIN("&amp;B700&amp;","&amp;D700&amp;")*"&amp;C700&amp;"^"&amp;D700&amp;"*(1-"&amp;C700&amp;")^("&amp;B700&amp;"-"&amp;D700&amp;")</f>
        <v/>
      </c>
      <c r="F700">
        <f>COMBIN(B700,D700)*C700^D700*(1-C700)^(B700-D700)</f>
        <v/>
      </c>
      <c r="G700">
        <f>G699+F700</f>
        <v/>
      </c>
    </row>
    <row r="701">
      <c r="A701" t="inlineStr">
        <is>
          <t>normal_high_9</t>
        </is>
      </c>
      <c r="B701" t="n">
        <v>9</v>
      </c>
      <c r="C701" t="n">
        <v>0.64806741</v>
      </c>
      <c r="D701" t="n">
        <v>3</v>
      </c>
      <c r="E701">
        <f>"COMBIN("&amp;B701&amp;","&amp;D701&amp;")*"&amp;C701&amp;"^"&amp;D701&amp;"*(1-"&amp;C701&amp;")^("&amp;B701&amp;"-"&amp;D701&amp;")</f>
        <v/>
      </c>
      <c r="F701">
        <f>COMBIN(B701,D701)*C701^D701*(1-C701)^(B701-D701)</f>
        <v/>
      </c>
      <c r="G701">
        <f>G700+F701</f>
        <v/>
      </c>
    </row>
    <row r="702">
      <c r="A702" t="inlineStr">
        <is>
          <t>normal_high_9</t>
        </is>
      </c>
      <c r="B702" t="n">
        <v>9</v>
      </c>
      <c r="C702" t="n">
        <v>0.64806741</v>
      </c>
      <c r="D702" t="n">
        <v>4</v>
      </c>
      <c r="E702">
        <f>"COMBIN("&amp;B702&amp;","&amp;D702&amp;")*"&amp;C702&amp;"^"&amp;D702&amp;"*(1-"&amp;C702&amp;")^("&amp;B702&amp;"-"&amp;D702&amp;")</f>
        <v/>
      </c>
      <c r="F702">
        <f>COMBIN(B702,D702)*C702^D702*(1-C702)^(B702-D702)</f>
        <v/>
      </c>
      <c r="G702">
        <f>G701+F702</f>
        <v/>
      </c>
    </row>
    <row r="703">
      <c r="A703" t="inlineStr">
        <is>
          <t>normal_high_9</t>
        </is>
      </c>
      <c r="B703" t="n">
        <v>9</v>
      </c>
      <c r="C703" t="n">
        <v>0.64806741</v>
      </c>
      <c r="D703" t="n">
        <v>5</v>
      </c>
      <c r="E703">
        <f>"COMBIN("&amp;B703&amp;","&amp;D703&amp;")*"&amp;C703&amp;"^"&amp;D703&amp;"*(1-"&amp;C703&amp;")^("&amp;B703&amp;"-"&amp;D703&amp;")</f>
        <v/>
      </c>
      <c r="F703">
        <f>COMBIN(B703,D703)*C703^D703*(1-C703)^(B703-D703)</f>
        <v/>
      </c>
      <c r="G703">
        <f>G702+F703</f>
        <v/>
      </c>
    </row>
    <row r="704">
      <c r="A704" t="inlineStr">
        <is>
          <t>normal_high_9</t>
        </is>
      </c>
      <c r="B704" t="n">
        <v>9</v>
      </c>
      <c r="C704" t="n">
        <v>0.64806741</v>
      </c>
      <c r="D704" t="n">
        <v>6</v>
      </c>
      <c r="E704">
        <f>"COMBIN("&amp;B704&amp;","&amp;D704&amp;")*"&amp;C704&amp;"^"&amp;D704&amp;"*(1-"&amp;C704&amp;")^("&amp;B704&amp;"-"&amp;D704&amp;")</f>
        <v/>
      </c>
      <c r="F704">
        <f>COMBIN(B704,D704)*C704^D704*(1-C704)^(B704-D704)</f>
        <v/>
      </c>
      <c r="G704">
        <f>G703+F704</f>
        <v/>
      </c>
    </row>
    <row r="705">
      <c r="A705" t="inlineStr">
        <is>
          <t>normal_high_9</t>
        </is>
      </c>
      <c r="B705" t="n">
        <v>9</v>
      </c>
      <c r="C705" t="n">
        <v>0.64806741</v>
      </c>
      <c r="D705" t="n">
        <v>7</v>
      </c>
      <c r="E705">
        <f>"COMBIN("&amp;B705&amp;","&amp;D705&amp;")*"&amp;C705&amp;"^"&amp;D705&amp;"*(1-"&amp;C705&amp;")^("&amp;B705&amp;"-"&amp;D705&amp;")</f>
        <v/>
      </c>
      <c r="F705">
        <f>COMBIN(B705,D705)*C705^D705*(1-C705)^(B705-D705)</f>
        <v/>
      </c>
      <c r="G705">
        <f>G704+F705</f>
        <v/>
      </c>
    </row>
    <row r="706">
      <c r="A706" t="inlineStr">
        <is>
          <t>normal_high_9</t>
        </is>
      </c>
      <c r="B706" t="n">
        <v>9</v>
      </c>
      <c r="C706" t="n">
        <v>0.64806741</v>
      </c>
      <c r="D706" t="n">
        <v>8</v>
      </c>
      <c r="E706">
        <f>"COMBIN("&amp;B706&amp;","&amp;D706&amp;")*"&amp;C706&amp;"^"&amp;D706&amp;"*(1-"&amp;C706&amp;")^("&amp;B706&amp;"-"&amp;D706&amp;")</f>
        <v/>
      </c>
      <c r="F706">
        <f>COMBIN(B706,D706)*C706^D706*(1-C706)^(B706-D706)</f>
        <v/>
      </c>
      <c r="G706">
        <f>G705+F706</f>
        <v/>
      </c>
    </row>
    <row r="707">
      <c r="A707" t="inlineStr">
        <is>
          <t>normal_high_9</t>
        </is>
      </c>
      <c r="B707" t="n">
        <v>9</v>
      </c>
      <c r="C707" t="n">
        <v>0.64806741</v>
      </c>
      <c r="D707" t="n">
        <v>9</v>
      </c>
      <c r="E707">
        <f>"COMBIN("&amp;B707&amp;","&amp;D707&amp;")*"&amp;C707&amp;"^"&amp;D707&amp;"*(1-"&amp;C707&amp;")^("&amp;B707&amp;"-"&amp;D707&amp;")</f>
        <v/>
      </c>
      <c r="F707">
        <f>COMBIN(B707,D707)*C707^D707*(1-C707)^(B707-D707)</f>
        <v/>
      </c>
      <c r="G707">
        <f>G706+F707</f>
        <v/>
      </c>
    </row>
    <row r="708">
      <c r="A708" t="inlineStr">
        <is>
          <t>normal_low_10</t>
        </is>
      </c>
      <c r="B708" t="n">
        <v>10</v>
      </c>
      <c r="C708" t="n">
        <v>0.6788888199999999</v>
      </c>
      <c r="D708" t="n">
        <v>0</v>
      </c>
      <c r="E708">
        <f>"COMBIN("&amp;B708&amp;","&amp;D708&amp;")*"&amp;C708&amp;"^"&amp;D708&amp;"*(1-"&amp;C708&amp;")^("&amp;B708&amp;"-"&amp;D708&amp;")</f>
        <v/>
      </c>
      <c r="F708">
        <f>COMBIN(B708,D708)*C708^D708*(1-C708)^(B708-D708)</f>
        <v/>
      </c>
      <c r="G708">
        <f>F708</f>
        <v/>
      </c>
      <c r="H708">
        <f>SUM(F708:F718)</f>
        <v/>
      </c>
    </row>
    <row r="709">
      <c r="A709" t="inlineStr">
        <is>
          <t>normal_low_10</t>
        </is>
      </c>
      <c r="B709" t="n">
        <v>10</v>
      </c>
      <c r="C709" t="n">
        <v>0.6788888199999999</v>
      </c>
      <c r="D709" t="n">
        <v>1</v>
      </c>
      <c r="E709">
        <f>"COMBIN("&amp;B709&amp;","&amp;D709&amp;")*"&amp;C709&amp;"^"&amp;D709&amp;"*(1-"&amp;C709&amp;")^("&amp;B709&amp;"-"&amp;D709&amp;")</f>
        <v/>
      </c>
      <c r="F709">
        <f>COMBIN(B709,D709)*C709^D709*(1-C709)^(B709-D709)</f>
        <v/>
      </c>
      <c r="G709">
        <f>G708+F709</f>
        <v/>
      </c>
    </row>
    <row r="710">
      <c r="A710" t="inlineStr">
        <is>
          <t>normal_low_10</t>
        </is>
      </c>
      <c r="B710" t="n">
        <v>10</v>
      </c>
      <c r="C710" t="n">
        <v>0.6788888199999999</v>
      </c>
      <c r="D710" t="n">
        <v>2</v>
      </c>
      <c r="E710">
        <f>"COMBIN("&amp;B710&amp;","&amp;D710&amp;")*"&amp;C710&amp;"^"&amp;D710&amp;"*(1-"&amp;C710&amp;")^("&amp;B710&amp;"-"&amp;D710&amp;")</f>
        <v/>
      </c>
      <c r="F710">
        <f>COMBIN(B710,D710)*C710^D710*(1-C710)^(B710-D710)</f>
        <v/>
      </c>
      <c r="G710">
        <f>G709+F710</f>
        <v/>
      </c>
    </row>
    <row r="711">
      <c r="A711" t="inlineStr">
        <is>
          <t>normal_low_10</t>
        </is>
      </c>
      <c r="B711" t="n">
        <v>10</v>
      </c>
      <c r="C711" t="n">
        <v>0.6788888199999999</v>
      </c>
      <c r="D711" t="n">
        <v>3</v>
      </c>
      <c r="E711">
        <f>"COMBIN("&amp;B711&amp;","&amp;D711&amp;")*"&amp;C711&amp;"^"&amp;D711&amp;"*(1-"&amp;C711&amp;")^("&amp;B711&amp;"-"&amp;D711&amp;")</f>
        <v/>
      </c>
      <c r="F711">
        <f>COMBIN(B711,D711)*C711^D711*(1-C711)^(B711-D711)</f>
        <v/>
      </c>
      <c r="G711">
        <f>G710+F711</f>
        <v/>
      </c>
    </row>
    <row r="712">
      <c r="A712" t="inlineStr">
        <is>
          <t>normal_low_10</t>
        </is>
      </c>
      <c r="B712" t="n">
        <v>10</v>
      </c>
      <c r="C712" t="n">
        <v>0.6788888199999999</v>
      </c>
      <c r="D712" t="n">
        <v>4</v>
      </c>
      <c r="E712">
        <f>"COMBIN("&amp;B712&amp;","&amp;D712&amp;")*"&amp;C712&amp;"^"&amp;D712&amp;"*(1-"&amp;C712&amp;")^("&amp;B712&amp;"-"&amp;D712&amp;")</f>
        <v/>
      </c>
      <c r="F712">
        <f>COMBIN(B712,D712)*C712^D712*(1-C712)^(B712-D712)</f>
        <v/>
      </c>
      <c r="G712">
        <f>G711+F712</f>
        <v/>
      </c>
    </row>
    <row r="713">
      <c r="A713" t="inlineStr">
        <is>
          <t>normal_low_10</t>
        </is>
      </c>
      <c r="B713" t="n">
        <v>10</v>
      </c>
      <c r="C713" t="n">
        <v>0.6788888199999999</v>
      </c>
      <c r="D713" t="n">
        <v>5</v>
      </c>
      <c r="E713">
        <f>"COMBIN("&amp;B713&amp;","&amp;D713&amp;")*"&amp;C713&amp;"^"&amp;D713&amp;"*(1-"&amp;C713&amp;")^("&amp;B713&amp;"-"&amp;D713&amp;")</f>
        <v/>
      </c>
      <c r="F713">
        <f>COMBIN(B713,D713)*C713^D713*(1-C713)^(B713-D713)</f>
        <v/>
      </c>
      <c r="G713">
        <f>G712+F713</f>
        <v/>
      </c>
    </row>
    <row r="714">
      <c r="A714" t="inlineStr">
        <is>
          <t>normal_low_10</t>
        </is>
      </c>
      <c r="B714" t="n">
        <v>10</v>
      </c>
      <c r="C714" t="n">
        <v>0.6788888199999999</v>
      </c>
      <c r="D714" t="n">
        <v>6</v>
      </c>
      <c r="E714">
        <f>"COMBIN("&amp;B714&amp;","&amp;D714&amp;")*"&amp;C714&amp;"^"&amp;D714&amp;"*(1-"&amp;C714&amp;")^("&amp;B714&amp;"-"&amp;D714&amp;")</f>
        <v/>
      </c>
      <c r="F714">
        <f>COMBIN(B714,D714)*C714^D714*(1-C714)^(B714-D714)</f>
        <v/>
      </c>
      <c r="G714">
        <f>G713+F714</f>
        <v/>
      </c>
    </row>
    <row r="715">
      <c r="A715" t="inlineStr">
        <is>
          <t>normal_low_10</t>
        </is>
      </c>
      <c r="B715" t="n">
        <v>10</v>
      </c>
      <c r="C715" t="n">
        <v>0.6788888199999999</v>
      </c>
      <c r="D715" t="n">
        <v>7</v>
      </c>
      <c r="E715">
        <f>"COMBIN("&amp;B715&amp;","&amp;D715&amp;")*"&amp;C715&amp;"^"&amp;D715&amp;"*(1-"&amp;C715&amp;")^("&amp;B715&amp;"-"&amp;D715&amp;")</f>
        <v/>
      </c>
      <c r="F715">
        <f>COMBIN(B715,D715)*C715^D715*(1-C715)^(B715-D715)</f>
        <v/>
      </c>
      <c r="G715">
        <f>G714+F715</f>
        <v/>
      </c>
    </row>
    <row r="716">
      <c r="A716" t="inlineStr">
        <is>
          <t>normal_low_10</t>
        </is>
      </c>
      <c r="B716" t="n">
        <v>10</v>
      </c>
      <c r="C716" t="n">
        <v>0.6788888199999999</v>
      </c>
      <c r="D716" t="n">
        <v>8</v>
      </c>
      <c r="E716">
        <f>"COMBIN("&amp;B716&amp;","&amp;D716&amp;")*"&amp;C716&amp;"^"&amp;D716&amp;"*(1-"&amp;C716&amp;")^("&amp;B716&amp;"-"&amp;D716&amp;")</f>
        <v/>
      </c>
      <c r="F716">
        <f>COMBIN(B716,D716)*C716^D716*(1-C716)^(B716-D716)</f>
        <v/>
      </c>
      <c r="G716">
        <f>G715+F716</f>
        <v/>
      </c>
    </row>
    <row r="717">
      <c r="A717" t="inlineStr">
        <is>
          <t>normal_low_10</t>
        </is>
      </c>
      <c r="B717" t="n">
        <v>10</v>
      </c>
      <c r="C717" t="n">
        <v>0.6788888199999999</v>
      </c>
      <c r="D717" t="n">
        <v>9</v>
      </c>
      <c r="E717">
        <f>"COMBIN("&amp;B717&amp;","&amp;D717&amp;")*"&amp;C717&amp;"^"&amp;D717&amp;"*(1-"&amp;C717&amp;")^("&amp;B717&amp;"-"&amp;D717&amp;")</f>
        <v/>
      </c>
      <c r="F717">
        <f>COMBIN(B717,D717)*C717^D717*(1-C717)^(B717-D717)</f>
        <v/>
      </c>
      <c r="G717">
        <f>G716+F717</f>
        <v/>
      </c>
    </row>
    <row r="718">
      <c r="A718" t="inlineStr">
        <is>
          <t>normal_low_10</t>
        </is>
      </c>
      <c r="B718" t="n">
        <v>10</v>
      </c>
      <c r="C718" t="n">
        <v>0.6788888199999999</v>
      </c>
      <c r="D718" t="n">
        <v>10</v>
      </c>
      <c r="E718">
        <f>"COMBIN("&amp;B718&amp;","&amp;D718&amp;")*"&amp;C718&amp;"^"&amp;D718&amp;"*(1-"&amp;C718&amp;")^("&amp;B718&amp;"-"&amp;D718&amp;")</f>
        <v/>
      </c>
      <c r="F718">
        <f>COMBIN(B718,D718)*C718^D718*(1-C718)^(B718-D718)</f>
        <v/>
      </c>
      <c r="G718">
        <f>G717+F718</f>
        <v/>
      </c>
    </row>
    <row r="719">
      <c r="A719" t="inlineStr">
        <is>
          <t>normal_low_11</t>
        </is>
      </c>
      <c r="B719" t="n">
        <v>11</v>
      </c>
      <c r="C719" t="n">
        <v>0.71448555</v>
      </c>
      <c r="D719" t="n">
        <v>0</v>
      </c>
      <c r="E719">
        <f>"COMBIN("&amp;B719&amp;","&amp;D719&amp;")*"&amp;C719&amp;"^"&amp;D719&amp;"*(1-"&amp;C719&amp;")^("&amp;B719&amp;"-"&amp;D719&amp;")</f>
        <v/>
      </c>
      <c r="F719">
        <f>COMBIN(B719,D719)*C719^D719*(1-C719)^(B719-D719)</f>
        <v/>
      </c>
      <c r="G719">
        <f>F719</f>
        <v/>
      </c>
      <c r="H719">
        <f>SUM(F719:F730)</f>
        <v/>
      </c>
    </row>
    <row r="720">
      <c r="A720" t="inlineStr">
        <is>
          <t>normal_low_11</t>
        </is>
      </c>
      <c r="B720" t="n">
        <v>11</v>
      </c>
      <c r="C720" t="n">
        <v>0.71448555</v>
      </c>
      <c r="D720" t="n">
        <v>1</v>
      </c>
      <c r="E720">
        <f>"COMBIN("&amp;B720&amp;","&amp;D720&amp;")*"&amp;C720&amp;"^"&amp;D720&amp;"*(1-"&amp;C720&amp;")^("&amp;B720&amp;"-"&amp;D720&amp;")</f>
        <v/>
      </c>
      <c r="F720">
        <f>COMBIN(B720,D720)*C720^D720*(1-C720)^(B720-D720)</f>
        <v/>
      </c>
      <c r="G720">
        <f>G719+F720</f>
        <v/>
      </c>
    </row>
    <row r="721">
      <c r="A721" t="inlineStr">
        <is>
          <t>normal_low_11</t>
        </is>
      </c>
      <c r="B721" t="n">
        <v>11</v>
      </c>
      <c r="C721" t="n">
        <v>0.71448555</v>
      </c>
      <c r="D721" t="n">
        <v>2</v>
      </c>
      <c r="E721">
        <f>"COMBIN("&amp;B721&amp;","&amp;D721&amp;")*"&amp;C721&amp;"^"&amp;D721&amp;"*(1-"&amp;C721&amp;")^("&amp;B721&amp;"-"&amp;D721&amp;")</f>
        <v/>
      </c>
      <c r="F721">
        <f>COMBIN(B721,D721)*C721^D721*(1-C721)^(B721-D721)</f>
        <v/>
      </c>
      <c r="G721">
        <f>G720+F721</f>
        <v/>
      </c>
    </row>
    <row r="722">
      <c r="A722" t="inlineStr">
        <is>
          <t>normal_low_11</t>
        </is>
      </c>
      <c r="B722" t="n">
        <v>11</v>
      </c>
      <c r="C722" t="n">
        <v>0.71448555</v>
      </c>
      <c r="D722" t="n">
        <v>3</v>
      </c>
      <c r="E722">
        <f>"COMBIN("&amp;B722&amp;","&amp;D722&amp;")*"&amp;C722&amp;"^"&amp;D722&amp;"*(1-"&amp;C722&amp;")^("&amp;B722&amp;"-"&amp;D722&amp;")</f>
        <v/>
      </c>
      <c r="F722">
        <f>COMBIN(B722,D722)*C722^D722*(1-C722)^(B722-D722)</f>
        <v/>
      </c>
      <c r="G722">
        <f>G721+F722</f>
        <v/>
      </c>
    </row>
    <row r="723">
      <c r="A723" t="inlineStr">
        <is>
          <t>normal_low_11</t>
        </is>
      </c>
      <c r="B723" t="n">
        <v>11</v>
      </c>
      <c r="C723" t="n">
        <v>0.71448555</v>
      </c>
      <c r="D723" t="n">
        <v>4</v>
      </c>
      <c r="E723">
        <f>"COMBIN("&amp;B723&amp;","&amp;D723&amp;")*"&amp;C723&amp;"^"&amp;D723&amp;"*(1-"&amp;C723&amp;")^("&amp;B723&amp;"-"&amp;D723&amp;")</f>
        <v/>
      </c>
      <c r="F723">
        <f>COMBIN(B723,D723)*C723^D723*(1-C723)^(B723-D723)</f>
        <v/>
      </c>
      <c r="G723">
        <f>G722+F723</f>
        <v/>
      </c>
    </row>
    <row r="724">
      <c r="A724" t="inlineStr">
        <is>
          <t>normal_low_11</t>
        </is>
      </c>
      <c r="B724" t="n">
        <v>11</v>
      </c>
      <c r="C724" t="n">
        <v>0.71448555</v>
      </c>
      <c r="D724" t="n">
        <v>5</v>
      </c>
      <c r="E724">
        <f>"COMBIN("&amp;B724&amp;","&amp;D724&amp;")*"&amp;C724&amp;"^"&amp;D724&amp;"*(1-"&amp;C724&amp;")^("&amp;B724&amp;"-"&amp;D724&amp;")</f>
        <v/>
      </c>
      <c r="F724">
        <f>COMBIN(B724,D724)*C724^D724*(1-C724)^(B724-D724)</f>
        <v/>
      </c>
      <c r="G724">
        <f>G723+F724</f>
        <v/>
      </c>
    </row>
    <row r="725">
      <c r="A725" t="inlineStr">
        <is>
          <t>normal_low_11</t>
        </is>
      </c>
      <c r="B725" t="n">
        <v>11</v>
      </c>
      <c r="C725" t="n">
        <v>0.71448555</v>
      </c>
      <c r="D725" t="n">
        <v>6</v>
      </c>
      <c r="E725">
        <f>"COMBIN("&amp;B725&amp;","&amp;D725&amp;")*"&amp;C725&amp;"^"&amp;D725&amp;"*(1-"&amp;C725&amp;")^("&amp;B725&amp;"-"&amp;D725&amp;")</f>
        <v/>
      </c>
      <c r="F725">
        <f>COMBIN(B725,D725)*C725^D725*(1-C725)^(B725-D725)</f>
        <v/>
      </c>
      <c r="G725">
        <f>G724+F725</f>
        <v/>
      </c>
    </row>
    <row r="726">
      <c r="A726" t="inlineStr">
        <is>
          <t>normal_low_11</t>
        </is>
      </c>
      <c r="B726" t="n">
        <v>11</v>
      </c>
      <c r="C726" t="n">
        <v>0.71448555</v>
      </c>
      <c r="D726" t="n">
        <v>7</v>
      </c>
      <c r="E726">
        <f>"COMBIN("&amp;B726&amp;","&amp;D726&amp;")*"&amp;C726&amp;"^"&amp;D726&amp;"*(1-"&amp;C726&amp;")^("&amp;B726&amp;"-"&amp;D726&amp;")</f>
        <v/>
      </c>
      <c r="F726">
        <f>COMBIN(B726,D726)*C726^D726*(1-C726)^(B726-D726)</f>
        <v/>
      </c>
      <c r="G726">
        <f>G725+F726</f>
        <v/>
      </c>
    </row>
    <row r="727">
      <c r="A727" t="inlineStr">
        <is>
          <t>normal_low_11</t>
        </is>
      </c>
      <c r="B727" t="n">
        <v>11</v>
      </c>
      <c r="C727" t="n">
        <v>0.71448555</v>
      </c>
      <c r="D727" t="n">
        <v>8</v>
      </c>
      <c r="E727">
        <f>"COMBIN("&amp;B727&amp;","&amp;D727&amp;")*"&amp;C727&amp;"^"&amp;D727&amp;"*(1-"&amp;C727&amp;")^("&amp;B727&amp;"-"&amp;D727&amp;")</f>
        <v/>
      </c>
      <c r="F727">
        <f>COMBIN(B727,D727)*C727^D727*(1-C727)^(B727-D727)</f>
        <v/>
      </c>
      <c r="G727">
        <f>G726+F727</f>
        <v/>
      </c>
    </row>
    <row r="728">
      <c r="A728" t="inlineStr">
        <is>
          <t>normal_low_11</t>
        </is>
      </c>
      <c r="B728" t="n">
        <v>11</v>
      </c>
      <c r="C728" t="n">
        <v>0.71448555</v>
      </c>
      <c r="D728" t="n">
        <v>9</v>
      </c>
      <c r="E728">
        <f>"COMBIN("&amp;B728&amp;","&amp;D728&amp;")*"&amp;C728&amp;"^"&amp;D728&amp;"*(1-"&amp;C728&amp;")^("&amp;B728&amp;"-"&amp;D728&amp;")</f>
        <v/>
      </c>
      <c r="F728">
        <f>COMBIN(B728,D728)*C728^D728*(1-C728)^(B728-D728)</f>
        <v/>
      </c>
      <c r="G728">
        <f>G727+F728</f>
        <v/>
      </c>
    </row>
    <row r="729">
      <c r="A729" t="inlineStr">
        <is>
          <t>normal_low_11</t>
        </is>
      </c>
      <c r="B729" t="n">
        <v>11</v>
      </c>
      <c r="C729" t="n">
        <v>0.71448555</v>
      </c>
      <c r="D729" t="n">
        <v>10</v>
      </c>
      <c r="E729">
        <f>"COMBIN("&amp;B729&amp;","&amp;D729&amp;")*"&amp;C729&amp;"^"&amp;D729&amp;"*(1-"&amp;C729&amp;")^("&amp;B729&amp;"-"&amp;D729&amp;")</f>
        <v/>
      </c>
      <c r="F729">
        <f>COMBIN(B729,D729)*C729^D729*(1-C729)^(B729-D729)</f>
        <v/>
      </c>
      <c r="G729">
        <f>G728+F729</f>
        <v/>
      </c>
    </row>
    <row r="730">
      <c r="A730" t="inlineStr">
        <is>
          <t>normal_low_11</t>
        </is>
      </c>
      <c r="B730" t="n">
        <v>11</v>
      </c>
      <c r="C730" t="n">
        <v>0.71448555</v>
      </c>
      <c r="D730" t="n">
        <v>11</v>
      </c>
      <c r="E730">
        <f>"COMBIN("&amp;B730&amp;","&amp;D730&amp;")*"&amp;C730&amp;"^"&amp;D730&amp;"*(1-"&amp;C730&amp;")^("&amp;B730&amp;"-"&amp;D730&amp;")</f>
        <v/>
      </c>
      <c r="F730">
        <f>COMBIN(B730,D730)*C730^D730*(1-C730)^(B730-D730)</f>
        <v/>
      </c>
      <c r="G730">
        <f>G729+F730</f>
        <v/>
      </c>
    </row>
    <row r="731">
      <c r="A731" t="inlineStr">
        <is>
          <t>normal_low_12</t>
        </is>
      </c>
      <c r="B731" t="n">
        <v>12</v>
      </c>
      <c r="C731" t="n">
        <v>0.69989846</v>
      </c>
      <c r="D731" t="n">
        <v>0</v>
      </c>
      <c r="E731">
        <f>"COMBIN("&amp;B731&amp;","&amp;D731&amp;")*"&amp;C731&amp;"^"&amp;D731&amp;"*(1-"&amp;C731&amp;")^("&amp;B731&amp;"-"&amp;D731&amp;")</f>
        <v/>
      </c>
      <c r="F731">
        <f>COMBIN(B731,D731)*C731^D731*(1-C731)^(B731-D731)</f>
        <v/>
      </c>
      <c r="G731">
        <f>F731</f>
        <v/>
      </c>
      <c r="H731">
        <f>SUM(F731:F743)</f>
        <v/>
      </c>
    </row>
    <row r="732">
      <c r="A732" t="inlineStr">
        <is>
          <t>normal_low_12</t>
        </is>
      </c>
      <c r="B732" t="n">
        <v>12</v>
      </c>
      <c r="C732" t="n">
        <v>0.69989846</v>
      </c>
      <c r="D732" t="n">
        <v>1</v>
      </c>
      <c r="E732">
        <f>"COMBIN("&amp;B732&amp;","&amp;D732&amp;")*"&amp;C732&amp;"^"&amp;D732&amp;"*(1-"&amp;C732&amp;")^("&amp;B732&amp;"-"&amp;D732&amp;")</f>
        <v/>
      </c>
      <c r="F732">
        <f>COMBIN(B732,D732)*C732^D732*(1-C732)^(B732-D732)</f>
        <v/>
      </c>
      <c r="G732">
        <f>G731+F732</f>
        <v/>
      </c>
    </row>
    <row r="733">
      <c r="A733" t="inlineStr">
        <is>
          <t>normal_low_12</t>
        </is>
      </c>
      <c r="B733" t="n">
        <v>12</v>
      </c>
      <c r="C733" t="n">
        <v>0.69989846</v>
      </c>
      <c r="D733" t="n">
        <v>2</v>
      </c>
      <c r="E733">
        <f>"COMBIN("&amp;B733&amp;","&amp;D733&amp;")*"&amp;C733&amp;"^"&amp;D733&amp;"*(1-"&amp;C733&amp;")^("&amp;B733&amp;"-"&amp;D733&amp;")</f>
        <v/>
      </c>
      <c r="F733">
        <f>COMBIN(B733,D733)*C733^D733*(1-C733)^(B733-D733)</f>
        <v/>
      </c>
      <c r="G733">
        <f>G732+F733</f>
        <v/>
      </c>
    </row>
    <row r="734">
      <c r="A734" t="inlineStr">
        <is>
          <t>normal_low_12</t>
        </is>
      </c>
      <c r="B734" t="n">
        <v>12</v>
      </c>
      <c r="C734" t="n">
        <v>0.69989846</v>
      </c>
      <c r="D734" t="n">
        <v>3</v>
      </c>
      <c r="E734">
        <f>"COMBIN("&amp;B734&amp;","&amp;D734&amp;")*"&amp;C734&amp;"^"&amp;D734&amp;"*(1-"&amp;C734&amp;")^("&amp;B734&amp;"-"&amp;D734&amp;")</f>
        <v/>
      </c>
      <c r="F734">
        <f>COMBIN(B734,D734)*C734^D734*(1-C734)^(B734-D734)</f>
        <v/>
      </c>
      <c r="G734">
        <f>G733+F734</f>
        <v/>
      </c>
    </row>
    <row r="735">
      <c r="A735" t="inlineStr">
        <is>
          <t>normal_low_12</t>
        </is>
      </c>
      <c r="B735" t="n">
        <v>12</v>
      </c>
      <c r="C735" t="n">
        <v>0.69989846</v>
      </c>
      <c r="D735" t="n">
        <v>4</v>
      </c>
      <c r="E735">
        <f>"COMBIN("&amp;B735&amp;","&amp;D735&amp;")*"&amp;C735&amp;"^"&amp;D735&amp;"*(1-"&amp;C735&amp;")^("&amp;B735&amp;"-"&amp;D735&amp;")</f>
        <v/>
      </c>
      <c r="F735">
        <f>COMBIN(B735,D735)*C735^D735*(1-C735)^(B735-D735)</f>
        <v/>
      </c>
      <c r="G735">
        <f>G734+F735</f>
        <v/>
      </c>
    </row>
    <row r="736">
      <c r="A736" t="inlineStr">
        <is>
          <t>normal_low_12</t>
        </is>
      </c>
      <c r="B736" t="n">
        <v>12</v>
      </c>
      <c r="C736" t="n">
        <v>0.69989846</v>
      </c>
      <c r="D736" t="n">
        <v>5</v>
      </c>
      <c r="E736">
        <f>"COMBIN("&amp;B736&amp;","&amp;D736&amp;")*"&amp;C736&amp;"^"&amp;D736&amp;"*(1-"&amp;C736&amp;")^("&amp;B736&amp;"-"&amp;D736&amp;")</f>
        <v/>
      </c>
      <c r="F736">
        <f>COMBIN(B736,D736)*C736^D736*(1-C736)^(B736-D736)</f>
        <v/>
      </c>
      <c r="G736">
        <f>G735+F736</f>
        <v/>
      </c>
    </row>
    <row r="737">
      <c r="A737" t="inlineStr">
        <is>
          <t>normal_low_12</t>
        </is>
      </c>
      <c r="B737" t="n">
        <v>12</v>
      </c>
      <c r="C737" t="n">
        <v>0.69989846</v>
      </c>
      <c r="D737" t="n">
        <v>6</v>
      </c>
      <c r="E737">
        <f>"COMBIN("&amp;B737&amp;","&amp;D737&amp;")*"&amp;C737&amp;"^"&amp;D737&amp;"*(1-"&amp;C737&amp;")^("&amp;B737&amp;"-"&amp;D737&amp;")</f>
        <v/>
      </c>
      <c r="F737">
        <f>COMBIN(B737,D737)*C737^D737*(1-C737)^(B737-D737)</f>
        <v/>
      </c>
      <c r="G737">
        <f>G736+F737</f>
        <v/>
      </c>
    </row>
    <row r="738">
      <c r="A738" t="inlineStr">
        <is>
          <t>normal_low_12</t>
        </is>
      </c>
      <c r="B738" t="n">
        <v>12</v>
      </c>
      <c r="C738" t="n">
        <v>0.69989846</v>
      </c>
      <c r="D738" t="n">
        <v>7</v>
      </c>
      <c r="E738">
        <f>"COMBIN("&amp;B738&amp;","&amp;D738&amp;")*"&amp;C738&amp;"^"&amp;D738&amp;"*(1-"&amp;C738&amp;")^("&amp;B738&amp;"-"&amp;D738&amp;")</f>
        <v/>
      </c>
      <c r="F738">
        <f>COMBIN(B738,D738)*C738^D738*(1-C738)^(B738-D738)</f>
        <v/>
      </c>
      <c r="G738">
        <f>G737+F738</f>
        <v/>
      </c>
    </row>
    <row r="739">
      <c r="A739" t="inlineStr">
        <is>
          <t>normal_low_12</t>
        </is>
      </c>
      <c r="B739" t="n">
        <v>12</v>
      </c>
      <c r="C739" t="n">
        <v>0.69989846</v>
      </c>
      <c r="D739" t="n">
        <v>8</v>
      </c>
      <c r="E739">
        <f>"COMBIN("&amp;B739&amp;","&amp;D739&amp;")*"&amp;C739&amp;"^"&amp;D739&amp;"*(1-"&amp;C739&amp;")^("&amp;B739&amp;"-"&amp;D739&amp;")</f>
        <v/>
      </c>
      <c r="F739">
        <f>COMBIN(B739,D739)*C739^D739*(1-C739)^(B739-D739)</f>
        <v/>
      </c>
      <c r="G739">
        <f>G738+F739</f>
        <v/>
      </c>
    </row>
    <row r="740">
      <c r="A740" t="inlineStr">
        <is>
          <t>normal_low_12</t>
        </is>
      </c>
      <c r="B740" t="n">
        <v>12</v>
      </c>
      <c r="C740" t="n">
        <v>0.69989846</v>
      </c>
      <c r="D740" t="n">
        <v>9</v>
      </c>
      <c r="E740">
        <f>"COMBIN("&amp;B740&amp;","&amp;D740&amp;")*"&amp;C740&amp;"^"&amp;D740&amp;"*(1-"&amp;C740&amp;")^("&amp;B740&amp;"-"&amp;D740&amp;")</f>
        <v/>
      </c>
      <c r="F740">
        <f>COMBIN(B740,D740)*C740^D740*(1-C740)^(B740-D740)</f>
        <v/>
      </c>
      <c r="G740">
        <f>G739+F740</f>
        <v/>
      </c>
    </row>
    <row r="741">
      <c r="A741" t="inlineStr">
        <is>
          <t>normal_low_12</t>
        </is>
      </c>
      <c r="B741" t="n">
        <v>12</v>
      </c>
      <c r="C741" t="n">
        <v>0.69989846</v>
      </c>
      <c r="D741" t="n">
        <v>10</v>
      </c>
      <c r="E741">
        <f>"COMBIN("&amp;B741&amp;","&amp;D741&amp;")*"&amp;C741&amp;"^"&amp;D741&amp;"*(1-"&amp;C741&amp;")^("&amp;B741&amp;"-"&amp;D741&amp;")</f>
        <v/>
      </c>
      <c r="F741">
        <f>COMBIN(B741,D741)*C741^D741*(1-C741)^(B741-D741)</f>
        <v/>
      </c>
      <c r="G741">
        <f>G740+F741</f>
        <v/>
      </c>
    </row>
    <row r="742">
      <c r="A742" t="inlineStr">
        <is>
          <t>normal_low_12</t>
        </is>
      </c>
      <c r="B742" t="n">
        <v>12</v>
      </c>
      <c r="C742" t="n">
        <v>0.69989846</v>
      </c>
      <c r="D742" t="n">
        <v>11</v>
      </c>
      <c r="E742">
        <f>"COMBIN("&amp;B742&amp;","&amp;D742&amp;")*"&amp;C742&amp;"^"&amp;D742&amp;"*(1-"&amp;C742&amp;")^("&amp;B742&amp;"-"&amp;D742&amp;")</f>
        <v/>
      </c>
      <c r="F742">
        <f>COMBIN(B742,D742)*C742^D742*(1-C742)^(B742-D742)</f>
        <v/>
      </c>
      <c r="G742">
        <f>G741+F742</f>
        <v/>
      </c>
    </row>
    <row r="743">
      <c r="A743" t="inlineStr">
        <is>
          <t>normal_low_12</t>
        </is>
      </c>
      <c r="B743" t="n">
        <v>12</v>
      </c>
      <c r="C743" t="n">
        <v>0.69989846</v>
      </c>
      <c r="D743" t="n">
        <v>12</v>
      </c>
      <c r="E743">
        <f>"COMBIN("&amp;B743&amp;","&amp;D743&amp;")*"&amp;C743&amp;"^"&amp;D743&amp;"*(1-"&amp;C743&amp;")^("&amp;B743&amp;"-"&amp;D743&amp;")</f>
        <v/>
      </c>
      <c r="F743">
        <f>COMBIN(B743,D743)*C743^D743*(1-C743)^(B743-D743)</f>
        <v/>
      </c>
      <c r="G743">
        <f>G742+F743</f>
        <v/>
      </c>
    </row>
    <row r="744">
      <c r="A744" t="inlineStr">
        <is>
          <t>normal_low_13</t>
        </is>
      </c>
      <c r="B744" t="n">
        <v>13</v>
      </c>
      <c r="C744" t="n">
        <v>0.75831917</v>
      </c>
      <c r="D744" t="n">
        <v>0</v>
      </c>
      <c r="E744">
        <f>"COMBIN("&amp;B744&amp;","&amp;D744&amp;")*"&amp;C744&amp;"^"&amp;D744&amp;"*(1-"&amp;C744&amp;")^("&amp;B744&amp;"-"&amp;D744&amp;")</f>
        <v/>
      </c>
      <c r="F744">
        <f>COMBIN(B744,D744)*C744^D744*(1-C744)^(B744-D744)</f>
        <v/>
      </c>
      <c r="G744">
        <f>F744</f>
        <v/>
      </c>
      <c r="H744">
        <f>SUM(F744:F757)</f>
        <v/>
      </c>
    </row>
    <row r="745">
      <c r="A745" t="inlineStr">
        <is>
          <t>normal_low_13</t>
        </is>
      </c>
      <c r="B745" t="n">
        <v>13</v>
      </c>
      <c r="C745" t="n">
        <v>0.75831917</v>
      </c>
      <c r="D745" t="n">
        <v>1</v>
      </c>
      <c r="E745">
        <f>"COMBIN("&amp;B745&amp;","&amp;D745&amp;")*"&amp;C745&amp;"^"&amp;D745&amp;"*(1-"&amp;C745&amp;")^("&amp;B745&amp;"-"&amp;D745&amp;")</f>
        <v/>
      </c>
      <c r="F745">
        <f>COMBIN(B745,D745)*C745^D745*(1-C745)^(B745-D745)</f>
        <v/>
      </c>
      <c r="G745">
        <f>G744+F745</f>
        <v/>
      </c>
    </row>
    <row r="746">
      <c r="A746" t="inlineStr">
        <is>
          <t>normal_low_13</t>
        </is>
      </c>
      <c r="B746" t="n">
        <v>13</v>
      </c>
      <c r="C746" t="n">
        <v>0.75831917</v>
      </c>
      <c r="D746" t="n">
        <v>2</v>
      </c>
      <c r="E746">
        <f>"COMBIN("&amp;B746&amp;","&amp;D746&amp;")*"&amp;C746&amp;"^"&amp;D746&amp;"*(1-"&amp;C746&amp;")^("&amp;B746&amp;"-"&amp;D746&amp;")</f>
        <v/>
      </c>
      <c r="F746">
        <f>COMBIN(B746,D746)*C746^D746*(1-C746)^(B746-D746)</f>
        <v/>
      </c>
      <c r="G746">
        <f>G745+F746</f>
        <v/>
      </c>
    </row>
    <row r="747">
      <c r="A747" t="inlineStr">
        <is>
          <t>normal_low_13</t>
        </is>
      </c>
      <c r="B747" t="n">
        <v>13</v>
      </c>
      <c r="C747" t="n">
        <v>0.75831917</v>
      </c>
      <c r="D747" t="n">
        <v>3</v>
      </c>
      <c r="E747">
        <f>"COMBIN("&amp;B747&amp;","&amp;D747&amp;")*"&amp;C747&amp;"^"&amp;D747&amp;"*(1-"&amp;C747&amp;")^("&amp;B747&amp;"-"&amp;D747&amp;")</f>
        <v/>
      </c>
      <c r="F747">
        <f>COMBIN(B747,D747)*C747^D747*(1-C747)^(B747-D747)</f>
        <v/>
      </c>
      <c r="G747">
        <f>G746+F747</f>
        <v/>
      </c>
    </row>
    <row r="748">
      <c r="A748" t="inlineStr">
        <is>
          <t>normal_low_13</t>
        </is>
      </c>
      <c r="B748" t="n">
        <v>13</v>
      </c>
      <c r="C748" t="n">
        <v>0.75831917</v>
      </c>
      <c r="D748" t="n">
        <v>4</v>
      </c>
      <c r="E748">
        <f>"COMBIN("&amp;B748&amp;","&amp;D748&amp;")*"&amp;C748&amp;"^"&amp;D748&amp;"*(1-"&amp;C748&amp;")^("&amp;B748&amp;"-"&amp;D748&amp;")</f>
        <v/>
      </c>
      <c r="F748">
        <f>COMBIN(B748,D748)*C748^D748*(1-C748)^(B748-D748)</f>
        <v/>
      </c>
      <c r="G748">
        <f>G747+F748</f>
        <v/>
      </c>
    </row>
    <row r="749">
      <c r="A749" t="inlineStr">
        <is>
          <t>normal_low_13</t>
        </is>
      </c>
      <c r="B749" t="n">
        <v>13</v>
      </c>
      <c r="C749" t="n">
        <v>0.75831917</v>
      </c>
      <c r="D749" t="n">
        <v>5</v>
      </c>
      <c r="E749">
        <f>"COMBIN("&amp;B749&amp;","&amp;D749&amp;")*"&amp;C749&amp;"^"&amp;D749&amp;"*(1-"&amp;C749&amp;")^("&amp;B749&amp;"-"&amp;D749&amp;")</f>
        <v/>
      </c>
      <c r="F749">
        <f>COMBIN(B749,D749)*C749^D749*(1-C749)^(B749-D749)</f>
        <v/>
      </c>
      <c r="G749">
        <f>G748+F749</f>
        <v/>
      </c>
    </row>
    <row r="750">
      <c r="A750" t="inlineStr">
        <is>
          <t>normal_low_13</t>
        </is>
      </c>
      <c r="B750" t="n">
        <v>13</v>
      </c>
      <c r="C750" t="n">
        <v>0.75831917</v>
      </c>
      <c r="D750" t="n">
        <v>6</v>
      </c>
      <c r="E750">
        <f>"COMBIN("&amp;B750&amp;","&amp;D750&amp;")*"&amp;C750&amp;"^"&amp;D750&amp;"*(1-"&amp;C750&amp;")^("&amp;B750&amp;"-"&amp;D750&amp;")</f>
        <v/>
      </c>
      <c r="F750">
        <f>COMBIN(B750,D750)*C750^D750*(1-C750)^(B750-D750)</f>
        <v/>
      </c>
      <c r="G750">
        <f>G749+F750</f>
        <v/>
      </c>
    </row>
    <row r="751">
      <c r="A751" t="inlineStr">
        <is>
          <t>normal_low_13</t>
        </is>
      </c>
      <c r="B751" t="n">
        <v>13</v>
      </c>
      <c r="C751" t="n">
        <v>0.75831917</v>
      </c>
      <c r="D751" t="n">
        <v>7</v>
      </c>
      <c r="E751">
        <f>"COMBIN("&amp;B751&amp;","&amp;D751&amp;")*"&amp;C751&amp;"^"&amp;D751&amp;"*(1-"&amp;C751&amp;")^("&amp;B751&amp;"-"&amp;D751&amp;")</f>
        <v/>
      </c>
      <c r="F751">
        <f>COMBIN(B751,D751)*C751^D751*(1-C751)^(B751-D751)</f>
        <v/>
      </c>
      <c r="G751">
        <f>G750+F751</f>
        <v/>
      </c>
    </row>
    <row r="752">
      <c r="A752" t="inlineStr">
        <is>
          <t>normal_low_13</t>
        </is>
      </c>
      <c r="B752" t="n">
        <v>13</v>
      </c>
      <c r="C752" t="n">
        <v>0.75831917</v>
      </c>
      <c r="D752" t="n">
        <v>8</v>
      </c>
      <c r="E752">
        <f>"COMBIN("&amp;B752&amp;","&amp;D752&amp;")*"&amp;C752&amp;"^"&amp;D752&amp;"*(1-"&amp;C752&amp;")^("&amp;B752&amp;"-"&amp;D752&amp;")</f>
        <v/>
      </c>
      <c r="F752">
        <f>COMBIN(B752,D752)*C752^D752*(1-C752)^(B752-D752)</f>
        <v/>
      </c>
      <c r="G752">
        <f>G751+F752</f>
        <v/>
      </c>
    </row>
    <row r="753">
      <c r="A753" t="inlineStr">
        <is>
          <t>normal_low_13</t>
        </is>
      </c>
      <c r="B753" t="n">
        <v>13</v>
      </c>
      <c r="C753" t="n">
        <v>0.75831917</v>
      </c>
      <c r="D753" t="n">
        <v>9</v>
      </c>
      <c r="E753">
        <f>"COMBIN("&amp;B753&amp;","&amp;D753&amp;")*"&amp;C753&amp;"^"&amp;D753&amp;"*(1-"&amp;C753&amp;")^("&amp;B753&amp;"-"&amp;D753&amp;")</f>
        <v/>
      </c>
      <c r="F753">
        <f>COMBIN(B753,D753)*C753^D753*(1-C753)^(B753-D753)</f>
        <v/>
      </c>
      <c r="G753">
        <f>G752+F753</f>
        <v/>
      </c>
    </row>
    <row r="754">
      <c r="A754" t="inlineStr">
        <is>
          <t>normal_low_13</t>
        </is>
      </c>
      <c r="B754" t="n">
        <v>13</v>
      </c>
      <c r="C754" t="n">
        <v>0.75831917</v>
      </c>
      <c r="D754" t="n">
        <v>10</v>
      </c>
      <c r="E754">
        <f>"COMBIN("&amp;B754&amp;","&amp;D754&amp;")*"&amp;C754&amp;"^"&amp;D754&amp;"*(1-"&amp;C754&amp;")^("&amp;B754&amp;"-"&amp;D754&amp;")</f>
        <v/>
      </c>
      <c r="F754">
        <f>COMBIN(B754,D754)*C754^D754*(1-C754)^(B754-D754)</f>
        <v/>
      </c>
      <c r="G754">
        <f>G753+F754</f>
        <v/>
      </c>
    </row>
    <row r="755">
      <c r="A755" t="inlineStr">
        <is>
          <t>normal_low_13</t>
        </is>
      </c>
      <c r="B755" t="n">
        <v>13</v>
      </c>
      <c r="C755" t="n">
        <v>0.75831917</v>
      </c>
      <c r="D755" t="n">
        <v>11</v>
      </c>
      <c r="E755">
        <f>"COMBIN("&amp;B755&amp;","&amp;D755&amp;")*"&amp;C755&amp;"^"&amp;D755&amp;"*(1-"&amp;C755&amp;")^("&amp;B755&amp;"-"&amp;D755&amp;")</f>
        <v/>
      </c>
      <c r="F755">
        <f>COMBIN(B755,D755)*C755^D755*(1-C755)^(B755-D755)</f>
        <v/>
      </c>
      <c r="G755">
        <f>G754+F755</f>
        <v/>
      </c>
    </row>
    <row r="756">
      <c r="A756" t="inlineStr">
        <is>
          <t>normal_low_13</t>
        </is>
      </c>
      <c r="B756" t="n">
        <v>13</v>
      </c>
      <c r="C756" t="n">
        <v>0.75831917</v>
      </c>
      <c r="D756" t="n">
        <v>12</v>
      </c>
      <c r="E756">
        <f>"COMBIN("&amp;B756&amp;","&amp;D756&amp;")*"&amp;C756&amp;"^"&amp;D756&amp;"*(1-"&amp;C756&amp;")^("&amp;B756&amp;"-"&amp;D756&amp;")</f>
        <v/>
      </c>
      <c r="F756">
        <f>COMBIN(B756,D756)*C756^D756*(1-C756)^(B756-D756)</f>
        <v/>
      </c>
      <c r="G756">
        <f>G755+F756</f>
        <v/>
      </c>
    </row>
    <row r="757">
      <c r="A757" t="inlineStr">
        <is>
          <t>normal_low_13</t>
        </is>
      </c>
      <c r="B757" t="n">
        <v>13</v>
      </c>
      <c r="C757" t="n">
        <v>0.75831917</v>
      </c>
      <c r="D757" t="n">
        <v>13</v>
      </c>
      <c r="E757">
        <f>"COMBIN("&amp;B757&amp;","&amp;D757&amp;")*"&amp;C757&amp;"^"&amp;D757&amp;"*(1-"&amp;C757&amp;")^("&amp;B757&amp;"-"&amp;D757&amp;")</f>
        <v/>
      </c>
      <c r="F757">
        <f>COMBIN(B757,D757)*C757^D757*(1-C757)^(B757-D757)</f>
        <v/>
      </c>
      <c r="G757">
        <f>G756+F757</f>
        <v/>
      </c>
    </row>
    <row r="758">
      <c r="A758" t="inlineStr">
        <is>
          <t>normal_low_14</t>
        </is>
      </c>
      <c r="B758" t="n">
        <v>14</v>
      </c>
      <c r="C758" t="n">
        <v>0.79631213</v>
      </c>
      <c r="D758" t="n">
        <v>0</v>
      </c>
      <c r="E758">
        <f>"COMBIN("&amp;B758&amp;","&amp;D758&amp;")*"&amp;C758&amp;"^"&amp;D758&amp;"*(1-"&amp;C758&amp;")^("&amp;B758&amp;"-"&amp;D758&amp;")</f>
        <v/>
      </c>
      <c r="F758">
        <f>COMBIN(B758,D758)*C758^D758*(1-C758)^(B758-D758)</f>
        <v/>
      </c>
      <c r="G758">
        <f>F758</f>
        <v/>
      </c>
      <c r="H758">
        <f>SUM(F758:F772)</f>
        <v/>
      </c>
    </row>
    <row r="759">
      <c r="A759" t="inlineStr">
        <is>
          <t>normal_low_14</t>
        </is>
      </c>
      <c r="B759" t="n">
        <v>14</v>
      </c>
      <c r="C759" t="n">
        <v>0.79631213</v>
      </c>
      <c r="D759" t="n">
        <v>1</v>
      </c>
      <c r="E759">
        <f>"COMBIN("&amp;B759&amp;","&amp;D759&amp;")*"&amp;C759&amp;"^"&amp;D759&amp;"*(1-"&amp;C759&amp;")^("&amp;B759&amp;"-"&amp;D759&amp;")</f>
        <v/>
      </c>
      <c r="F759">
        <f>COMBIN(B759,D759)*C759^D759*(1-C759)^(B759-D759)</f>
        <v/>
      </c>
      <c r="G759">
        <f>G758+F759</f>
        <v/>
      </c>
    </row>
    <row r="760">
      <c r="A760" t="inlineStr">
        <is>
          <t>normal_low_14</t>
        </is>
      </c>
      <c r="B760" t="n">
        <v>14</v>
      </c>
      <c r="C760" t="n">
        <v>0.79631213</v>
      </c>
      <c r="D760" t="n">
        <v>2</v>
      </c>
      <c r="E760">
        <f>"COMBIN("&amp;B760&amp;","&amp;D760&amp;")*"&amp;C760&amp;"^"&amp;D760&amp;"*(1-"&amp;C760&amp;")^("&amp;B760&amp;"-"&amp;D760&amp;")</f>
        <v/>
      </c>
      <c r="F760">
        <f>COMBIN(B760,D760)*C760^D760*(1-C760)^(B760-D760)</f>
        <v/>
      </c>
      <c r="G760">
        <f>G759+F760</f>
        <v/>
      </c>
    </row>
    <row r="761">
      <c r="A761" t="inlineStr">
        <is>
          <t>normal_low_14</t>
        </is>
      </c>
      <c r="B761" t="n">
        <v>14</v>
      </c>
      <c r="C761" t="n">
        <v>0.79631213</v>
      </c>
      <c r="D761" t="n">
        <v>3</v>
      </c>
      <c r="E761">
        <f>"COMBIN("&amp;B761&amp;","&amp;D761&amp;")*"&amp;C761&amp;"^"&amp;D761&amp;"*(1-"&amp;C761&amp;")^("&amp;B761&amp;"-"&amp;D761&amp;")</f>
        <v/>
      </c>
      <c r="F761">
        <f>COMBIN(B761,D761)*C761^D761*(1-C761)^(B761-D761)</f>
        <v/>
      </c>
      <c r="G761">
        <f>G760+F761</f>
        <v/>
      </c>
    </row>
    <row r="762">
      <c r="A762" t="inlineStr">
        <is>
          <t>normal_low_14</t>
        </is>
      </c>
      <c r="B762" t="n">
        <v>14</v>
      </c>
      <c r="C762" t="n">
        <v>0.79631213</v>
      </c>
      <c r="D762" t="n">
        <v>4</v>
      </c>
      <c r="E762">
        <f>"COMBIN("&amp;B762&amp;","&amp;D762&amp;")*"&amp;C762&amp;"^"&amp;D762&amp;"*(1-"&amp;C762&amp;")^("&amp;B762&amp;"-"&amp;D762&amp;")</f>
        <v/>
      </c>
      <c r="F762">
        <f>COMBIN(B762,D762)*C762^D762*(1-C762)^(B762-D762)</f>
        <v/>
      </c>
      <c r="G762">
        <f>G761+F762</f>
        <v/>
      </c>
    </row>
    <row r="763">
      <c r="A763" t="inlineStr">
        <is>
          <t>normal_low_14</t>
        </is>
      </c>
      <c r="B763" t="n">
        <v>14</v>
      </c>
      <c r="C763" t="n">
        <v>0.79631213</v>
      </c>
      <c r="D763" t="n">
        <v>5</v>
      </c>
      <c r="E763">
        <f>"COMBIN("&amp;B763&amp;","&amp;D763&amp;")*"&amp;C763&amp;"^"&amp;D763&amp;"*(1-"&amp;C763&amp;")^("&amp;B763&amp;"-"&amp;D763&amp;")</f>
        <v/>
      </c>
      <c r="F763">
        <f>COMBIN(B763,D763)*C763^D763*(1-C763)^(B763-D763)</f>
        <v/>
      </c>
      <c r="G763">
        <f>G762+F763</f>
        <v/>
      </c>
    </row>
    <row r="764">
      <c r="A764" t="inlineStr">
        <is>
          <t>normal_low_14</t>
        </is>
      </c>
      <c r="B764" t="n">
        <v>14</v>
      </c>
      <c r="C764" t="n">
        <v>0.79631213</v>
      </c>
      <c r="D764" t="n">
        <v>6</v>
      </c>
      <c r="E764">
        <f>"COMBIN("&amp;B764&amp;","&amp;D764&amp;")*"&amp;C764&amp;"^"&amp;D764&amp;"*(1-"&amp;C764&amp;")^("&amp;B764&amp;"-"&amp;D764&amp;")</f>
        <v/>
      </c>
      <c r="F764">
        <f>COMBIN(B764,D764)*C764^D764*(1-C764)^(B764-D764)</f>
        <v/>
      </c>
      <c r="G764">
        <f>G763+F764</f>
        <v/>
      </c>
    </row>
    <row r="765">
      <c r="A765" t="inlineStr">
        <is>
          <t>normal_low_14</t>
        </is>
      </c>
      <c r="B765" t="n">
        <v>14</v>
      </c>
      <c r="C765" t="n">
        <v>0.79631213</v>
      </c>
      <c r="D765" t="n">
        <v>7</v>
      </c>
      <c r="E765">
        <f>"COMBIN("&amp;B765&amp;","&amp;D765&amp;")*"&amp;C765&amp;"^"&amp;D765&amp;"*(1-"&amp;C765&amp;")^("&amp;B765&amp;"-"&amp;D765&amp;")</f>
        <v/>
      </c>
      <c r="F765">
        <f>COMBIN(B765,D765)*C765^D765*(1-C765)^(B765-D765)</f>
        <v/>
      </c>
      <c r="G765">
        <f>G764+F765</f>
        <v/>
      </c>
    </row>
    <row r="766">
      <c r="A766" t="inlineStr">
        <is>
          <t>normal_low_14</t>
        </is>
      </c>
      <c r="B766" t="n">
        <v>14</v>
      </c>
      <c r="C766" t="n">
        <v>0.79631213</v>
      </c>
      <c r="D766" t="n">
        <v>8</v>
      </c>
      <c r="E766">
        <f>"COMBIN("&amp;B766&amp;","&amp;D766&amp;")*"&amp;C766&amp;"^"&amp;D766&amp;"*(1-"&amp;C766&amp;")^("&amp;B766&amp;"-"&amp;D766&amp;")</f>
        <v/>
      </c>
      <c r="F766">
        <f>COMBIN(B766,D766)*C766^D766*(1-C766)^(B766-D766)</f>
        <v/>
      </c>
      <c r="G766">
        <f>G765+F766</f>
        <v/>
      </c>
    </row>
    <row r="767">
      <c r="A767" t="inlineStr">
        <is>
          <t>normal_low_14</t>
        </is>
      </c>
      <c r="B767" t="n">
        <v>14</v>
      </c>
      <c r="C767" t="n">
        <v>0.79631213</v>
      </c>
      <c r="D767" t="n">
        <v>9</v>
      </c>
      <c r="E767">
        <f>"COMBIN("&amp;B767&amp;","&amp;D767&amp;")*"&amp;C767&amp;"^"&amp;D767&amp;"*(1-"&amp;C767&amp;")^("&amp;B767&amp;"-"&amp;D767&amp;")</f>
        <v/>
      </c>
      <c r="F767">
        <f>COMBIN(B767,D767)*C767^D767*(1-C767)^(B767-D767)</f>
        <v/>
      </c>
      <c r="G767">
        <f>G766+F767</f>
        <v/>
      </c>
    </row>
    <row r="768">
      <c r="A768" t="inlineStr">
        <is>
          <t>normal_low_14</t>
        </is>
      </c>
      <c r="B768" t="n">
        <v>14</v>
      </c>
      <c r="C768" t="n">
        <v>0.79631213</v>
      </c>
      <c r="D768" t="n">
        <v>10</v>
      </c>
      <c r="E768">
        <f>"COMBIN("&amp;B768&amp;","&amp;D768&amp;")*"&amp;C768&amp;"^"&amp;D768&amp;"*(1-"&amp;C768&amp;")^("&amp;B768&amp;"-"&amp;D768&amp;")</f>
        <v/>
      </c>
      <c r="F768">
        <f>COMBIN(B768,D768)*C768^D768*(1-C768)^(B768-D768)</f>
        <v/>
      </c>
      <c r="G768">
        <f>G767+F768</f>
        <v/>
      </c>
    </row>
    <row r="769">
      <c r="A769" t="inlineStr">
        <is>
          <t>normal_low_14</t>
        </is>
      </c>
      <c r="B769" t="n">
        <v>14</v>
      </c>
      <c r="C769" t="n">
        <v>0.79631213</v>
      </c>
      <c r="D769" t="n">
        <v>11</v>
      </c>
      <c r="E769">
        <f>"COMBIN("&amp;B769&amp;","&amp;D769&amp;")*"&amp;C769&amp;"^"&amp;D769&amp;"*(1-"&amp;C769&amp;")^("&amp;B769&amp;"-"&amp;D769&amp;")</f>
        <v/>
      </c>
      <c r="F769">
        <f>COMBIN(B769,D769)*C769^D769*(1-C769)^(B769-D769)</f>
        <v/>
      </c>
      <c r="G769">
        <f>G768+F769</f>
        <v/>
      </c>
    </row>
    <row r="770">
      <c r="A770" t="inlineStr">
        <is>
          <t>normal_low_14</t>
        </is>
      </c>
      <c r="B770" t="n">
        <v>14</v>
      </c>
      <c r="C770" t="n">
        <v>0.79631213</v>
      </c>
      <c r="D770" t="n">
        <v>12</v>
      </c>
      <c r="E770">
        <f>"COMBIN("&amp;B770&amp;","&amp;D770&amp;")*"&amp;C770&amp;"^"&amp;D770&amp;"*(1-"&amp;C770&amp;")^("&amp;B770&amp;"-"&amp;D770&amp;")</f>
        <v/>
      </c>
      <c r="F770">
        <f>COMBIN(B770,D770)*C770^D770*(1-C770)^(B770-D770)</f>
        <v/>
      </c>
      <c r="G770">
        <f>G769+F770</f>
        <v/>
      </c>
    </row>
    <row r="771">
      <c r="A771" t="inlineStr">
        <is>
          <t>normal_low_14</t>
        </is>
      </c>
      <c r="B771" t="n">
        <v>14</v>
      </c>
      <c r="C771" t="n">
        <v>0.79631213</v>
      </c>
      <c r="D771" t="n">
        <v>13</v>
      </c>
      <c r="E771">
        <f>"COMBIN("&amp;B771&amp;","&amp;D771&amp;")*"&amp;C771&amp;"^"&amp;D771&amp;"*(1-"&amp;C771&amp;")^("&amp;B771&amp;"-"&amp;D771&amp;")</f>
        <v/>
      </c>
      <c r="F771">
        <f>COMBIN(B771,D771)*C771^D771*(1-C771)^(B771-D771)</f>
        <v/>
      </c>
      <c r="G771">
        <f>G770+F771</f>
        <v/>
      </c>
    </row>
    <row r="772">
      <c r="A772" t="inlineStr">
        <is>
          <t>normal_low_14</t>
        </is>
      </c>
      <c r="B772" t="n">
        <v>14</v>
      </c>
      <c r="C772" t="n">
        <v>0.79631213</v>
      </c>
      <c r="D772" t="n">
        <v>14</v>
      </c>
      <c r="E772">
        <f>"COMBIN("&amp;B772&amp;","&amp;D772&amp;")*"&amp;C772&amp;"^"&amp;D772&amp;"*(1-"&amp;C772&amp;")^("&amp;B772&amp;"-"&amp;D772&amp;")</f>
        <v/>
      </c>
      <c r="F772">
        <f>COMBIN(B772,D772)*C772^D772*(1-C772)^(B772-D772)</f>
        <v/>
      </c>
      <c r="G772">
        <f>G771+F772</f>
        <v/>
      </c>
    </row>
    <row r="773">
      <c r="A773" t="inlineStr">
        <is>
          <t>normal_low_15</t>
        </is>
      </c>
      <c r="B773" t="n">
        <v>15</v>
      </c>
      <c r="C773" t="n">
        <v>0.67975952</v>
      </c>
      <c r="D773" t="n">
        <v>0</v>
      </c>
      <c r="E773">
        <f>"COMBIN("&amp;B773&amp;","&amp;D773&amp;")*"&amp;C773&amp;"^"&amp;D773&amp;"*(1-"&amp;C773&amp;")^("&amp;B773&amp;"-"&amp;D773&amp;")</f>
        <v/>
      </c>
      <c r="F773">
        <f>COMBIN(B773,D773)*C773^D773*(1-C773)^(B773-D773)</f>
        <v/>
      </c>
      <c r="G773">
        <f>F773</f>
        <v/>
      </c>
      <c r="H773">
        <f>SUM(F773:F788)</f>
        <v/>
      </c>
    </row>
    <row r="774">
      <c r="A774" t="inlineStr">
        <is>
          <t>normal_low_15</t>
        </is>
      </c>
      <c r="B774" t="n">
        <v>15</v>
      </c>
      <c r="C774" t="n">
        <v>0.67975952</v>
      </c>
      <c r="D774" t="n">
        <v>1</v>
      </c>
      <c r="E774">
        <f>"COMBIN("&amp;B774&amp;","&amp;D774&amp;")*"&amp;C774&amp;"^"&amp;D774&amp;"*(1-"&amp;C774&amp;")^("&amp;B774&amp;"-"&amp;D774&amp;")</f>
        <v/>
      </c>
      <c r="F774">
        <f>COMBIN(B774,D774)*C774^D774*(1-C774)^(B774-D774)</f>
        <v/>
      </c>
      <c r="G774">
        <f>G773+F774</f>
        <v/>
      </c>
    </row>
    <row r="775">
      <c r="A775" t="inlineStr">
        <is>
          <t>normal_low_15</t>
        </is>
      </c>
      <c r="B775" t="n">
        <v>15</v>
      </c>
      <c r="C775" t="n">
        <v>0.67975952</v>
      </c>
      <c r="D775" t="n">
        <v>2</v>
      </c>
      <c r="E775">
        <f>"COMBIN("&amp;B775&amp;","&amp;D775&amp;")*"&amp;C775&amp;"^"&amp;D775&amp;"*(1-"&amp;C775&amp;")^("&amp;B775&amp;"-"&amp;D775&amp;")</f>
        <v/>
      </c>
      <c r="F775">
        <f>COMBIN(B775,D775)*C775^D775*(1-C775)^(B775-D775)</f>
        <v/>
      </c>
      <c r="G775">
        <f>G774+F775</f>
        <v/>
      </c>
    </row>
    <row r="776">
      <c r="A776" t="inlineStr">
        <is>
          <t>normal_low_15</t>
        </is>
      </c>
      <c r="B776" t="n">
        <v>15</v>
      </c>
      <c r="C776" t="n">
        <v>0.67975952</v>
      </c>
      <c r="D776" t="n">
        <v>3</v>
      </c>
      <c r="E776">
        <f>"COMBIN("&amp;B776&amp;","&amp;D776&amp;")*"&amp;C776&amp;"^"&amp;D776&amp;"*(1-"&amp;C776&amp;")^("&amp;B776&amp;"-"&amp;D776&amp;")</f>
        <v/>
      </c>
      <c r="F776">
        <f>COMBIN(B776,D776)*C776^D776*(1-C776)^(B776-D776)</f>
        <v/>
      </c>
      <c r="G776">
        <f>G775+F776</f>
        <v/>
      </c>
    </row>
    <row r="777">
      <c r="A777" t="inlineStr">
        <is>
          <t>normal_low_15</t>
        </is>
      </c>
      <c r="B777" t="n">
        <v>15</v>
      </c>
      <c r="C777" t="n">
        <v>0.67975952</v>
      </c>
      <c r="D777" t="n">
        <v>4</v>
      </c>
      <c r="E777">
        <f>"COMBIN("&amp;B777&amp;","&amp;D777&amp;")*"&amp;C777&amp;"^"&amp;D777&amp;"*(1-"&amp;C777&amp;")^("&amp;B777&amp;"-"&amp;D777&amp;")</f>
        <v/>
      </c>
      <c r="F777">
        <f>COMBIN(B777,D777)*C777^D777*(1-C777)^(B777-D777)</f>
        <v/>
      </c>
      <c r="G777">
        <f>G776+F777</f>
        <v/>
      </c>
    </row>
    <row r="778">
      <c r="A778" t="inlineStr">
        <is>
          <t>normal_low_15</t>
        </is>
      </c>
      <c r="B778" t="n">
        <v>15</v>
      </c>
      <c r="C778" t="n">
        <v>0.67975952</v>
      </c>
      <c r="D778" t="n">
        <v>5</v>
      </c>
      <c r="E778">
        <f>"COMBIN("&amp;B778&amp;","&amp;D778&amp;")*"&amp;C778&amp;"^"&amp;D778&amp;"*(1-"&amp;C778&amp;")^("&amp;B778&amp;"-"&amp;D778&amp;")</f>
        <v/>
      </c>
      <c r="F778">
        <f>COMBIN(B778,D778)*C778^D778*(1-C778)^(B778-D778)</f>
        <v/>
      </c>
      <c r="G778">
        <f>G777+F778</f>
        <v/>
      </c>
    </row>
    <row r="779">
      <c r="A779" t="inlineStr">
        <is>
          <t>normal_low_15</t>
        </is>
      </c>
      <c r="B779" t="n">
        <v>15</v>
      </c>
      <c r="C779" t="n">
        <v>0.67975952</v>
      </c>
      <c r="D779" t="n">
        <v>6</v>
      </c>
      <c r="E779">
        <f>"COMBIN("&amp;B779&amp;","&amp;D779&amp;")*"&amp;C779&amp;"^"&amp;D779&amp;"*(1-"&amp;C779&amp;")^("&amp;B779&amp;"-"&amp;D779&amp;")</f>
        <v/>
      </c>
      <c r="F779">
        <f>COMBIN(B779,D779)*C779^D779*(1-C779)^(B779-D779)</f>
        <v/>
      </c>
      <c r="G779">
        <f>G778+F779</f>
        <v/>
      </c>
    </row>
    <row r="780">
      <c r="A780" t="inlineStr">
        <is>
          <t>normal_low_15</t>
        </is>
      </c>
      <c r="B780" t="n">
        <v>15</v>
      </c>
      <c r="C780" t="n">
        <v>0.67975952</v>
      </c>
      <c r="D780" t="n">
        <v>7</v>
      </c>
      <c r="E780">
        <f>"COMBIN("&amp;B780&amp;","&amp;D780&amp;")*"&amp;C780&amp;"^"&amp;D780&amp;"*(1-"&amp;C780&amp;")^("&amp;B780&amp;"-"&amp;D780&amp;")</f>
        <v/>
      </c>
      <c r="F780">
        <f>COMBIN(B780,D780)*C780^D780*(1-C780)^(B780-D780)</f>
        <v/>
      </c>
      <c r="G780">
        <f>G779+F780</f>
        <v/>
      </c>
    </row>
    <row r="781">
      <c r="A781" t="inlineStr">
        <is>
          <t>normal_low_15</t>
        </is>
      </c>
      <c r="B781" t="n">
        <v>15</v>
      </c>
      <c r="C781" t="n">
        <v>0.67975952</v>
      </c>
      <c r="D781" t="n">
        <v>8</v>
      </c>
      <c r="E781">
        <f>"COMBIN("&amp;B781&amp;","&amp;D781&amp;")*"&amp;C781&amp;"^"&amp;D781&amp;"*(1-"&amp;C781&amp;")^("&amp;B781&amp;"-"&amp;D781&amp;")</f>
        <v/>
      </c>
      <c r="F781">
        <f>COMBIN(B781,D781)*C781^D781*(1-C781)^(B781-D781)</f>
        <v/>
      </c>
      <c r="G781">
        <f>G780+F781</f>
        <v/>
      </c>
    </row>
    <row r="782">
      <c r="A782" t="inlineStr">
        <is>
          <t>normal_low_15</t>
        </is>
      </c>
      <c r="B782" t="n">
        <v>15</v>
      </c>
      <c r="C782" t="n">
        <v>0.67975952</v>
      </c>
      <c r="D782" t="n">
        <v>9</v>
      </c>
      <c r="E782">
        <f>"COMBIN("&amp;B782&amp;","&amp;D782&amp;")*"&amp;C782&amp;"^"&amp;D782&amp;"*(1-"&amp;C782&amp;")^("&amp;B782&amp;"-"&amp;D782&amp;")</f>
        <v/>
      </c>
      <c r="F782">
        <f>COMBIN(B782,D782)*C782^D782*(1-C782)^(B782-D782)</f>
        <v/>
      </c>
      <c r="G782">
        <f>G781+F782</f>
        <v/>
      </c>
    </row>
    <row r="783">
      <c r="A783" t="inlineStr">
        <is>
          <t>normal_low_15</t>
        </is>
      </c>
      <c r="B783" t="n">
        <v>15</v>
      </c>
      <c r="C783" t="n">
        <v>0.67975952</v>
      </c>
      <c r="D783" t="n">
        <v>10</v>
      </c>
      <c r="E783">
        <f>"COMBIN("&amp;B783&amp;","&amp;D783&amp;")*"&amp;C783&amp;"^"&amp;D783&amp;"*(1-"&amp;C783&amp;")^("&amp;B783&amp;"-"&amp;D783&amp;")</f>
        <v/>
      </c>
      <c r="F783">
        <f>COMBIN(B783,D783)*C783^D783*(1-C783)^(B783-D783)</f>
        <v/>
      </c>
      <c r="G783">
        <f>G782+F783</f>
        <v/>
      </c>
    </row>
    <row r="784">
      <c r="A784" t="inlineStr">
        <is>
          <t>normal_low_15</t>
        </is>
      </c>
      <c r="B784" t="n">
        <v>15</v>
      </c>
      <c r="C784" t="n">
        <v>0.67975952</v>
      </c>
      <c r="D784" t="n">
        <v>11</v>
      </c>
      <c r="E784">
        <f>"COMBIN("&amp;B784&amp;","&amp;D784&amp;")*"&amp;C784&amp;"^"&amp;D784&amp;"*(1-"&amp;C784&amp;")^("&amp;B784&amp;"-"&amp;D784&amp;")</f>
        <v/>
      </c>
      <c r="F784">
        <f>COMBIN(B784,D784)*C784^D784*(1-C784)^(B784-D784)</f>
        <v/>
      </c>
      <c r="G784">
        <f>G783+F784</f>
        <v/>
      </c>
    </row>
    <row r="785">
      <c r="A785" t="inlineStr">
        <is>
          <t>normal_low_15</t>
        </is>
      </c>
      <c r="B785" t="n">
        <v>15</v>
      </c>
      <c r="C785" t="n">
        <v>0.67975952</v>
      </c>
      <c r="D785" t="n">
        <v>12</v>
      </c>
      <c r="E785">
        <f>"COMBIN("&amp;B785&amp;","&amp;D785&amp;")*"&amp;C785&amp;"^"&amp;D785&amp;"*(1-"&amp;C785&amp;")^("&amp;B785&amp;"-"&amp;D785&amp;")</f>
        <v/>
      </c>
      <c r="F785">
        <f>COMBIN(B785,D785)*C785^D785*(1-C785)^(B785-D785)</f>
        <v/>
      </c>
      <c r="G785">
        <f>G784+F785</f>
        <v/>
      </c>
    </row>
    <row r="786">
      <c r="A786" t="inlineStr">
        <is>
          <t>normal_low_15</t>
        </is>
      </c>
      <c r="B786" t="n">
        <v>15</v>
      </c>
      <c r="C786" t="n">
        <v>0.67975952</v>
      </c>
      <c r="D786" t="n">
        <v>13</v>
      </c>
      <c r="E786">
        <f>"COMBIN("&amp;B786&amp;","&amp;D786&amp;")*"&amp;C786&amp;"^"&amp;D786&amp;"*(1-"&amp;C786&amp;")^("&amp;B786&amp;"-"&amp;D786&amp;")</f>
        <v/>
      </c>
      <c r="F786">
        <f>COMBIN(B786,D786)*C786^D786*(1-C786)^(B786-D786)</f>
        <v/>
      </c>
      <c r="G786">
        <f>G785+F786</f>
        <v/>
      </c>
    </row>
    <row r="787">
      <c r="A787" t="inlineStr">
        <is>
          <t>normal_low_15</t>
        </is>
      </c>
      <c r="B787" t="n">
        <v>15</v>
      </c>
      <c r="C787" t="n">
        <v>0.67975952</v>
      </c>
      <c r="D787" t="n">
        <v>14</v>
      </c>
      <c r="E787">
        <f>"COMBIN("&amp;B787&amp;","&amp;D787&amp;")*"&amp;C787&amp;"^"&amp;D787&amp;"*(1-"&amp;C787&amp;")^("&amp;B787&amp;"-"&amp;D787&amp;")</f>
        <v/>
      </c>
      <c r="F787">
        <f>COMBIN(B787,D787)*C787^D787*(1-C787)^(B787-D787)</f>
        <v/>
      </c>
      <c r="G787">
        <f>G786+F787</f>
        <v/>
      </c>
    </row>
    <row r="788">
      <c r="A788" t="inlineStr">
        <is>
          <t>normal_low_15</t>
        </is>
      </c>
      <c r="B788" t="n">
        <v>15</v>
      </c>
      <c r="C788" t="n">
        <v>0.67975952</v>
      </c>
      <c r="D788" t="n">
        <v>15</v>
      </c>
      <c r="E788">
        <f>"COMBIN("&amp;B788&amp;","&amp;D788&amp;")*"&amp;C788&amp;"^"&amp;D788&amp;"*(1-"&amp;C788&amp;")^("&amp;B788&amp;"-"&amp;D788&amp;")</f>
        <v/>
      </c>
      <c r="F788">
        <f>COMBIN(B788,D788)*C788^D788*(1-C788)^(B788-D788)</f>
        <v/>
      </c>
      <c r="G788">
        <f>G787+F788</f>
        <v/>
      </c>
    </row>
    <row r="789">
      <c r="A789" t="inlineStr">
        <is>
          <t>normal_low_16</t>
        </is>
      </c>
      <c r="B789" t="n">
        <v>16</v>
      </c>
      <c r="C789" t="n">
        <v>0.68477751</v>
      </c>
      <c r="D789" t="n">
        <v>0</v>
      </c>
      <c r="E789">
        <f>"COMBIN("&amp;B789&amp;","&amp;D789&amp;")*"&amp;C789&amp;"^"&amp;D789&amp;"*(1-"&amp;C789&amp;")^("&amp;B789&amp;"-"&amp;D789&amp;")</f>
        <v/>
      </c>
      <c r="F789">
        <f>COMBIN(B789,D789)*C789^D789*(1-C789)^(B789-D789)</f>
        <v/>
      </c>
      <c r="G789">
        <f>F789</f>
        <v/>
      </c>
      <c r="H789">
        <f>SUM(F789:F805)</f>
        <v/>
      </c>
    </row>
    <row r="790">
      <c r="A790" t="inlineStr">
        <is>
          <t>normal_low_16</t>
        </is>
      </c>
      <c r="B790" t="n">
        <v>16</v>
      </c>
      <c r="C790" t="n">
        <v>0.68477751</v>
      </c>
      <c r="D790" t="n">
        <v>1</v>
      </c>
      <c r="E790">
        <f>"COMBIN("&amp;B790&amp;","&amp;D790&amp;")*"&amp;C790&amp;"^"&amp;D790&amp;"*(1-"&amp;C790&amp;")^("&amp;B790&amp;"-"&amp;D790&amp;")</f>
        <v/>
      </c>
      <c r="F790">
        <f>COMBIN(B790,D790)*C790^D790*(1-C790)^(B790-D790)</f>
        <v/>
      </c>
      <c r="G790">
        <f>G789+F790</f>
        <v/>
      </c>
    </row>
    <row r="791">
      <c r="A791" t="inlineStr">
        <is>
          <t>normal_low_16</t>
        </is>
      </c>
      <c r="B791" t="n">
        <v>16</v>
      </c>
      <c r="C791" t="n">
        <v>0.68477751</v>
      </c>
      <c r="D791" t="n">
        <v>2</v>
      </c>
      <c r="E791">
        <f>"COMBIN("&amp;B791&amp;","&amp;D791&amp;")*"&amp;C791&amp;"^"&amp;D791&amp;"*(1-"&amp;C791&amp;")^("&amp;B791&amp;"-"&amp;D791&amp;")</f>
        <v/>
      </c>
      <c r="F791">
        <f>COMBIN(B791,D791)*C791^D791*(1-C791)^(B791-D791)</f>
        <v/>
      </c>
      <c r="G791">
        <f>G790+F791</f>
        <v/>
      </c>
    </row>
    <row r="792">
      <c r="A792" t="inlineStr">
        <is>
          <t>normal_low_16</t>
        </is>
      </c>
      <c r="B792" t="n">
        <v>16</v>
      </c>
      <c r="C792" t="n">
        <v>0.68477751</v>
      </c>
      <c r="D792" t="n">
        <v>3</v>
      </c>
      <c r="E792">
        <f>"COMBIN("&amp;B792&amp;","&amp;D792&amp;")*"&amp;C792&amp;"^"&amp;D792&amp;"*(1-"&amp;C792&amp;")^("&amp;B792&amp;"-"&amp;D792&amp;")</f>
        <v/>
      </c>
      <c r="F792">
        <f>COMBIN(B792,D792)*C792^D792*(1-C792)^(B792-D792)</f>
        <v/>
      </c>
      <c r="G792">
        <f>G791+F792</f>
        <v/>
      </c>
    </row>
    <row r="793">
      <c r="A793" t="inlineStr">
        <is>
          <t>normal_low_16</t>
        </is>
      </c>
      <c r="B793" t="n">
        <v>16</v>
      </c>
      <c r="C793" t="n">
        <v>0.68477751</v>
      </c>
      <c r="D793" t="n">
        <v>4</v>
      </c>
      <c r="E793">
        <f>"COMBIN("&amp;B793&amp;","&amp;D793&amp;")*"&amp;C793&amp;"^"&amp;D793&amp;"*(1-"&amp;C793&amp;")^("&amp;B793&amp;"-"&amp;D793&amp;")</f>
        <v/>
      </c>
      <c r="F793">
        <f>COMBIN(B793,D793)*C793^D793*(1-C793)^(B793-D793)</f>
        <v/>
      </c>
      <c r="G793">
        <f>G792+F793</f>
        <v/>
      </c>
    </row>
    <row r="794">
      <c r="A794" t="inlineStr">
        <is>
          <t>normal_low_16</t>
        </is>
      </c>
      <c r="B794" t="n">
        <v>16</v>
      </c>
      <c r="C794" t="n">
        <v>0.68477751</v>
      </c>
      <c r="D794" t="n">
        <v>5</v>
      </c>
      <c r="E794">
        <f>"COMBIN("&amp;B794&amp;","&amp;D794&amp;")*"&amp;C794&amp;"^"&amp;D794&amp;"*(1-"&amp;C794&amp;")^("&amp;B794&amp;"-"&amp;D794&amp;")</f>
        <v/>
      </c>
      <c r="F794">
        <f>COMBIN(B794,D794)*C794^D794*(1-C794)^(B794-D794)</f>
        <v/>
      </c>
      <c r="G794">
        <f>G793+F794</f>
        <v/>
      </c>
    </row>
    <row r="795">
      <c r="A795" t="inlineStr">
        <is>
          <t>normal_low_16</t>
        </is>
      </c>
      <c r="B795" t="n">
        <v>16</v>
      </c>
      <c r="C795" t="n">
        <v>0.68477751</v>
      </c>
      <c r="D795" t="n">
        <v>6</v>
      </c>
      <c r="E795">
        <f>"COMBIN("&amp;B795&amp;","&amp;D795&amp;")*"&amp;C795&amp;"^"&amp;D795&amp;"*(1-"&amp;C795&amp;")^("&amp;B795&amp;"-"&amp;D795&amp;")</f>
        <v/>
      </c>
      <c r="F795">
        <f>COMBIN(B795,D795)*C795^D795*(1-C795)^(B795-D795)</f>
        <v/>
      </c>
      <c r="G795">
        <f>G794+F795</f>
        <v/>
      </c>
    </row>
    <row r="796">
      <c r="A796" t="inlineStr">
        <is>
          <t>normal_low_16</t>
        </is>
      </c>
      <c r="B796" t="n">
        <v>16</v>
      </c>
      <c r="C796" t="n">
        <v>0.68477751</v>
      </c>
      <c r="D796" t="n">
        <v>7</v>
      </c>
      <c r="E796">
        <f>"COMBIN("&amp;B796&amp;","&amp;D796&amp;")*"&amp;C796&amp;"^"&amp;D796&amp;"*(1-"&amp;C796&amp;")^("&amp;B796&amp;"-"&amp;D796&amp;")</f>
        <v/>
      </c>
      <c r="F796">
        <f>COMBIN(B796,D796)*C796^D796*(1-C796)^(B796-D796)</f>
        <v/>
      </c>
      <c r="G796">
        <f>G795+F796</f>
        <v/>
      </c>
    </row>
    <row r="797">
      <c r="A797" t="inlineStr">
        <is>
          <t>normal_low_16</t>
        </is>
      </c>
      <c r="B797" t="n">
        <v>16</v>
      </c>
      <c r="C797" t="n">
        <v>0.68477751</v>
      </c>
      <c r="D797" t="n">
        <v>8</v>
      </c>
      <c r="E797">
        <f>"COMBIN("&amp;B797&amp;","&amp;D797&amp;")*"&amp;C797&amp;"^"&amp;D797&amp;"*(1-"&amp;C797&amp;")^("&amp;B797&amp;"-"&amp;D797&amp;")</f>
        <v/>
      </c>
      <c r="F797">
        <f>COMBIN(B797,D797)*C797^D797*(1-C797)^(B797-D797)</f>
        <v/>
      </c>
      <c r="G797">
        <f>G796+F797</f>
        <v/>
      </c>
    </row>
    <row r="798">
      <c r="A798" t="inlineStr">
        <is>
          <t>normal_low_16</t>
        </is>
      </c>
      <c r="B798" t="n">
        <v>16</v>
      </c>
      <c r="C798" t="n">
        <v>0.68477751</v>
      </c>
      <c r="D798" t="n">
        <v>9</v>
      </c>
      <c r="E798">
        <f>"COMBIN("&amp;B798&amp;","&amp;D798&amp;")*"&amp;C798&amp;"^"&amp;D798&amp;"*(1-"&amp;C798&amp;")^("&amp;B798&amp;"-"&amp;D798&amp;")</f>
        <v/>
      </c>
      <c r="F798">
        <f>COMBIN(B798,D798)*C798^D798*(1-C798)^(B798-D798)</f>
        <v/>
      </c>
      <c r="G798">
        <f>G797+F798</f>
        <v/>
      </c>
    </row>
    <row r="799">
      <c r="A799" t="inlineStr">
        <is>
          <t>normal_low_16</t>
        </is>
      </c>
      <c r="B799" t="n">
        <v>16</v>
      </c>
      <c r="C799" t="n">
        <v>0.68477751</v>
      </c>
      <c r="D799" t="n">
        <v>10</v>
      </c>
      <c r="E799">
        <f>"COMBIN("&amp;B799&amp;","&amp;D799&amp;")*"&amp;C799&amp;"^"&amp;D799&amp;"*(1-"&amp;C799&amp;")^("&amp;B799&amp;"-"&amp;D799&amp;")</f>
        <v/>
      </c>
      <c r="F799">
        <f>COMBIN(B799,D799)*C799^D799*(1-C799)^(B799-D799)</f>
        <v/>
      </c>
      <c r="G799">
        <f>G798+F799</f>
        <v/>
      </c>
    </row>
    <row r="800">
      <c r="A800" t="inlineStr">
        <is>
          <t>normal_low_16</t>
        </is>
      </c>
      <c r="B800" t="n">
        <v>16</v>
      </c>
      <c r="C800" t="n">
        <v>0.68477751</v>
      </c>
      <c r="D800" t="n">
        <v>11</v>
      </c>
      <c r="E800">
        <f>"COMBIN("&amp;B800&amp;","&amp;D800&amp;")*"&amp;C800&amp;"^"&amp;D800&amp;"*(1-"&amp;C800&amp;")^("&amp;B800&amp;"-"&amp;D800&amp;")</f>
        <v/>
      </c>
      <c r="F800">
        <f>COMBIN(B800,D800)*C800^D800*(1-C800)^(B800-D800)</f>
        <v/>
      </c>
      <c r="G800">
        <f>G799+F800</f>
        <v/>
      </c>
    </row>
    <row r="801">
      <c r="A801" t="inlineStr">
        <is>
          <t>normal_low_16</t>
        </is>
      </c>
      <c r="B801" t="n">
        <v>16</v>
      </c>
      <c r="C801" t="n">
        <v>0.68477751</v>
      </c>
      <c r="D801" t="n">
        <v>12</v>
      </c>
      <c r="E801">
        <f>"COMBIN("&amp;B801&amp;","&amp;D801&amp;")*"&amp;C801&amp;"^"&amp;D801&amp;"*(1-"&amp;C801&amp;")^("&amp;B801&amp;"-"&amp;D801&amp;")</f>
        <v/>
      </c>
      <c r="F801">
        <f>COMBIN(B801,D801)*C801^D801*(1-C801)^(B801-D801)</f>
        <v/>
      </c>
      <c r="G801">
        <f>G800+F801</f>
        <v/>
      </c>
    </row>
    <row r="802">
      <c r="A802" t="inlineStr">
        <is>
          <t>normal_low_16</t>
        </is>
      </c>
      <c r="B802" t="n">
        <v>16</v>
      </c>
      <c r="C802" t="n">
        <v>0.68477751</v>
      </c>
      <c r="D802" t="n">
        <v>13</v>
      </c>
      <c r="E802">
        <f>"COMBIN("&amp;B802&amp;","&amp;D802&amp;")*"&amp;C802&amp;"^"&amp;D802&amp;"*(1-"&amp;C802&amp;")^("&amp;B802&amp;"-"&amp;D802&amp;")</f>
        <v/>
      </c>
      <c r="F802">
        <f>COMBIN(B802,D802)*C802^D802*(1-C802)^(B802-D802)</f>
        <v/>
      </c>
      <c r="G802">
        <f>G801+F802</f>
        <v/>
      </c>
    </row>
    <row r="803">
      <c r="A803" t="inlineStr">
        <is>
          <t>normal_low_16</t>
        </is>
      </c>
      <c r="B803" t="n">
        <v>16</v>
      </c>
      <c r="C803" t="n">
        <v>0.68477751</v>
      </c>
      <c r="D803" t="n">
        <v>14</v>
      </c>
      <c r="E803">
        <f>"COMBIN("&amp;B803&amp;","&amp;D803&amp;")*"&amp;C803&amp;"^"&amp;D803&amp;"*(1-"&amp;C803&amp;")^("&amp;B803&amp;"-"&amp;D803&amp;")</f>
        <v/>
      </c>
      <c r="F803">
        <f>COMBIN(B803,D803)*C803^D803*(1-C803)^(B803-D803)</f>
        <v/>
      </c>
      <c r="G803">
        <f>G802+F803</f>
        <v/>
      </c>
    </row>
    <row r="804">
      <c r="A804" t="inlineStr">
        <is>
          <t>normal_low_16</t>
        </is>
      </c>
      <c r="B804" t="n">
        <v>16</v>
      </c>
      <c r="C804" t="n">
        <v>0.68477751</v>
      </c>
      <c r="D804" t="n">
        <v>15</v>
      </c>
      <c r="E804">
        <f>"COMBIN("&amp;B804&amp;","&amp;D804&amp;")*"&amp;C804&amp;"^"&amp;D804&amp;"*(1-"&amp;C804&amp;")^("&amp;B804&amp;"-"&amp;D804&amp;")</f>
        <v/>
      </c>
      <c r="F804">
        <f>COMBIN(B804,D804)*C804^D804*(1-C804)^(B804-D804)</f>
        <v/>
      </c>
      <c r="G804">
        <f>G803+F804</f>
        <v/>
      </c>
    </row>
    <row r="805">
      <c r="A805" t="inlineStr">
        <is>
          <t>normal_low_16</t>
        </is>
      </c>
      <c r="B805" t="n">
        <v>16</v>
      </c>
      <c r="C805" t="n">
        <v>0.68477751</v>
      </c>
      <c r="D805" t="n">
        <v>16</v>
      </c>
      <c r="E805">
        <f>"COMBIN("&amp;B805&amp;","&amp;D805&amp;")*"&amp;C805&amp;"^"&amp;D805&amp;"*(1-"&amp;C805&amp;")^("&amp;B805&amp;"-"&amp;D805&amp;")</f>
        <v/>
      </c>
      <c r="F805">
        <f>COMBIN(B805,D805)*C805^D805*(1-C805)^(B805-D805)</f>
        <v/>
      </c>
      <c r="G805">
        <f>G804+F805</f>
        <v/>
      </c>
    </row>
    <row r="806">
      <c r="A806" t="inlineStr">
        <is>
          <t>normal_low_8</t>
        </is>
      </c>
      <c r="B806" t="n">
        <v>8</v>
      </c>
      <c r="C806" t="n">
        <v>0.73307423</v>
      </c>
      <c r="D806" t="n">
        <v>0</v>
      </c>
      <c r="E806">
        <f>"COMBIN("&amp;B806&amp;","&amp;D806&amp;")*"&amp;C806&amp;"^"&amp;D806&amp;"*(1-"&amp;C806&amp;")^("&amp;B806&amp;"-"&amp;D806&amp;")</f>
        <v/>
      </c>
      <c r="F806">
        <f>COMBIN(B806,D806)*C806^D806*(1-C806)^(B806-D806)</f>
        <v/>
      </c>
      <c r="G806">
        <f>F806</f>
        <v/>
      </c>
      <c r="H806">
        <f>SUM(F806:F814)</f>
        <v/>
      </c>
    </row>
    <row r="807">
      <c r="A807" t="inlineStr">
        <is>
          <t>normal_low_8</t>
        </is>
      </c>
      <c r="B807" t="n">
        <v>8</v>
      </c>
      <c r="C807" t="n">
        <v>0.73307423</v>
      </c>
      <c r="D807" t="n">
        <v>1</v>
      </c>
      <c r="E807">
        <f>"COMBIN("&amp;B807&amp;","&amp;D807&amp;")*"&amp;C807&amp;"^"&amp;D807&amp;"*(1-"&amp;C807&amp;")^("&amp;B807&amp;"-"&amp;D807&amp;")</f>
        <v/>
      </c>
      <c r="F807">
        <f>COMBIN(B807,D807)*C807^D807*(1-C807)^(B807-D807)</f>
        <v/>
      </c>
      <c r="G807">
        <f>G806+F807</f>
        <v/>
      </c>
    </row>
    <row r="808">
      <c r="A808" t="inlineStr">
        <is>
          <t>normal_low_8</t>
        </is>
      </c>
      <c r="B808" t="n">
        <v>8</v>
      </c>
      <c r="C808" t="n">
        <v>0.73307423</v>
      </c>
      <c r="D808" t="n">
        <v>2</v>
      </c>
      <c r="E808">
        <f>"COMBIN("&amp;B808&amp;","&amp;D808&amp;")*"&amp;C808&amp;"^"&amp;D808&amp;"*(1-"&amp;C808&amp;")^("&amp;B808&amp;"-"&amp;D808&amp;")</f>
        <v/>
      </c>
      <c r="F808">
        <f>COMBIN(B808,D808)*C808^D808*(1-C808)^(B808-D808)</f>
        <v/>
      </c>
      <c r="G808">
        <f>G807+F808</f>
        <v/>
      </c>
    </row>
    <row r="809">
      <c r="A809" t="inlineStr">
        <is>
          <t>normal_low_8</t>
        </is>
      </c>
      <c r="B809" t="n">
        <v>8</v>
      </c>
      <c r="C809" t="n">
        <v>0.73307423</v>
      </c>
      <c r="D809" t="n">
        <v>3</v>
      </c>
      <c r="E809">
        <f>"COMBIN("&amp;B809&amp;","&amp;D809&amp;")*"&amp;C809&amp;"^"&amp;D809&amp;"*(1-"&amp;C809&amp;")^("&amp;B809&amp;"-"&amp;D809&amp;")</f>
        <v/>
      </c>
      <c r="F809">
        <f>COMBIN(B809,D809)*C809^D809*(1-C809)^(B809-D809)</f>
        <v/>
      </c>
      <c r="G809">
        <f>G808+F809</f>
        <v/>
      </c>
    </row>
    <row r="810">
      <c r="A810" t="inlineStr">
        <is>
          <t>normal_low_8</t>
        </is>
      </c>
      <c r="B810" t="n">
        <v>8</v>
      </c>
      <c r="C810" t="n">
        <v>0.73307423</v>
      </c>
      <c r="D810" t="n">
        <v>4</v>
      </c>
      <c r="E810">
        <f>"COMBIN("&amp;B810&amp;","&amp;D810&amp;")*"&amp;C810&amp;"^"&amp;D810&amp;"*(1-"&amp;C810&amp;")^("&amp;B810&amp;"-"&amp;D810&amp;")</f>
        <v/>
      </c>
      <c r="F810">
        <f>COMBIN(B810,D810)*C810^D810*(1-C810)^(B810-D810)</f>
        <v/>
      </c>
      <c r="G810">
        <f>G809+F810</f>
        <v/>
      </c>
    </row>
    <row r="811">
      <c r="A811" t="inlineStr">
        <is>
          <t>normal_low_8</t>
        </is>
      </c>
      <c r="B811" t="n">
        <v>8</v>
      </c>
      <c r="C811" t="n">
        <v>0.73307423</v>
      </c>
      <c r="D811" t="n">
        <v>5</v>
      </c>
      <c r="E811">
        <f>"COMBIN("&amp;B811&amp;","&amp;D811&amp;")*"&amp;C811&amp;"^"&amp;D811&amp;"*(1-"&amp;C811&amp;")^("&amp;B811&amp;"-"&amp;D811&amp;")</f>
        <v/>
      </c>
      <c r="F811">
        <f>COMBIN(B811,D811)*C811^D811*(1-C811)^(B811-D811)</f>
        <v/>
      </c>
      <c r="G811">
        <f>G810+F811</f>
        <v/>
      </c>
    </row>
    <row r="812">
      <c r="A812" t="inlineStr">
        <is>
          <t>normal_low_8</t>
        </is>
      </c>
      <c r="B812" t="n">
        <v>8</v>
      </c>
      <c r="C812" t="n">
        <v>0.73307423</v>
      </c>
      <c r="D812" t="n">
        <v>6</v>
      </c>
      <c r="E812">
        <f>"COMBIN("&amp;B812&amp;","&amp;D812&amp;")*"&amp;C812&amp;"^"&amp;D812&amp;"*(1-"&amp;C812&amp;")^("&amp;B812&amp;"-"&amp;D812&amp;")</f>
        <v/>
      </c>
      <c r="F812">
        <f>COMBIN(B812,D812)*C812^D812*(1-C812)^(B812-D812)</f>
        <v/>
      </c>
      <c r="G812">
        <f>G811+F812</f>
        <v/>
      </c>
    </row>
    <row r="813">
      <c r="A813" t="inlineStr">
        <is>
          <t>normal_low_8</t>
        </is>
      </c>
      <c r="B813" t="n">
        <v>8</v>
      </c>
      <c r="C813" t="n">
        <v>0.73307423</v>
      </c>
      <c r="D813" t="n">
        <v>7</v>
      </c>
      <c r="E813">
        <f>"COMBIN("&amp;B813&amp;","&amp;D813&amp;")*"&amp;C813&amp;"^"&amp;D813&amp;"*(1-"&amp;C813&amp;")^("&amp;B813&amp;"-"&amp;D813&amp;")</f>
        <v/>
      </c>
      <c r="F813">
        <f>COMBIN(B813,D813)*C813^D813*(1-C813)^(B813-D813)</f>
        <v/>
      </c>
      <c r="G813">
        <f>G812+F813</f>
        <v/>
      </c>
    </row>
    <row r="814">
      <c r="A814" t="inlineStr">
        <is>
          <t>normal_low_8</t>
        </is>
      </c>
      <c r="B814" t="n">
        <v>8</v>
      </c>
      <c r="C814" t="n">
        <v>0.73307423</v>
      </c>
      <c r="D814" t="n">
        <v>8</v>
      </c>
      <c r="E814">
        <f>"COMBIN("&amp;B814&amp;","&amp;D814&amp;")*"&amp;C814&amp;"^"&amp;D814&amp;"*(1-"&amp;C814&amp;")^("&amp;B814&amp;"-"&amp;D814&amp;")</f>
        <v/>
      </c>
      <c r="F814">
        <f>COMBIN(B814,D814)*C814^D814*(1-C814)^(B814-D814)</f>
        <v/>
      </c>
      <c r="G814">
        <f>G813+F814</f>
        <v/>
      </c>
    </row>
    <row r="815">
      <c r="A815" t="inlineStr">
        <is>
          <t>normal_low_9</t>
        </is>
      </c>
      <c r="B815" t="n">
        <v>9</v>
      </c>
      <c r="C815" t="n">
        <v>0.75852495</v>
      </c>
      <c r="D815" t="n">
        <v>0</v>
      </c>
      <c r="E815">
        <f>"COMBIN("&amp;B815&amp;","&amp;D815&amp;")*"&amp;C815&amp;"^"&amp;D815&amp;"*(1-"&amp;C815&amp;")^("&amp;B815&amp;"-"&amp;D815&amp;")</f>
        <v/>
      </c>
      <c r="F815">
        <f>COMBIN(B815,D815)*C815^D815*(1-C815)^(B815-D815)</f>
        <v/>
      </c>
      <c r="G815">
        <f>F815</f>
        <v/>
      </c>
      <c r="H815">
        <f>SUM(F815:F824)</f>
        <v/>
      </c>
    </row>
    <row r="816">
      <c r="A816" t="inlineStr">
        <is>
          <t>normal_low_9</t>
        </is>
      </c>
      <c r="B816" t="n">
        <v>9</v>
      </c>
      <c r="C816" t="n">
        <v>0.75852495</v>
      </c>
      <c r="D816" t="n">
        <v>1</v>
      </c>
      <c r="E816">
        <f>"COMBIN("&amp;B816&amp;","&amp;D816&amp;")*"&amp;C816&amp;"^"&amp;D816&amp;"*(1-"&amp;C816&amp;")^("&amp;B816&amp;"-"&amp;D816&amp;")</f>
        <v/>
      </c>
      <c r="F816">
        <f>COMBIN(B816,D816)*C816^D816*(1-C816)^(B816-D816)</f>
        <v/>
      </c>
      <c r="G816">
        <f>G815+F816</f>
        <v/>
      </c>
    </row>
    <row r="817">
      <c r="A817" t="inlineStr">
        <is>
          <t>normal_low_9</t>
        </is>
      </c>
      <c r="B817" t="n">
        <v>9</v>
      </c>
      <c r="C817" t="n">
        <v>0.75852495</v>
      </c>
      <c r="D817" t="n">
        <v>2</v>
      </c>
      <c r="E817">
        <f>"COMBIN("&amp;B817&amp;","&amp;D817&amp;")*"&amp;C817&amp;"^"&amp;D817&amp;"*(1-"&amp;C817&amp;")^("&amp;B817&amp;"-"&amp;D817&amp;")</f>
        <v/>
      </c>
      <c r="F817">
        <f>COMBIN(B817,D817)*C817^D817*(1-C817)^(B817-D817)</f>
        <v/>
      </c>
      <c r="G817">
        <f>G816+F817</f>
        <v/>
      </c>
    </row>
    <row r="818">
      <c r="A818" t="inlineStr">
        <is>
          <t>normal_low_9</t>
        </is>
      </c>
      <c r="B818" t="n">
        <v>9</v>
      </c>
      <c r="C818" t="n">
        <v>0.75852495</v>
      </c>
      <c r="D818" t="n">
        <v>3</v>
      </c>
      <c r="E818">
        <f>"COMBIN("&amp;B818&amp;","&amp;D818&amp;")*"&amp;C818&amp;"^"&amp;D818&amp;"*(1-"&amp;C818&amp;")^("&amp;B818&amp;"-"&amp;D818&amp;")</f>
        <v/>
      </c>
      <c r="F818">
        <f>COMBIN(B818,D818)*C818^D818*(1-C818)^(B818-D818)</f>
        <v/>
      </c>
      <c r="G818">
        <f>G817+F818</f>
        <v/>
      </c>
    </row>
    <row r="819">
      <c r="A819" t="inlineStr">
        <is>
          <t>normal_low_9</t>
        </is>
      </c>
      <c r="B819" t="n">
        <v>9</v>
      </c>
      <c r="C819" t="n">
        <v>0.75852495</v>
      </c>
      <c r="D819" t="n">
        <v>4</v>
      </c>
      <c r="E819">
        <f>"COMBIN("&amp;B819&amp;","&amp;D819&amp;")*"&amp;C819&amp;"^"&amp;D819&amp;"*(1-"&amp;C819&amp;")^("&amp;B819&amp;"-"&amp;D819&amp;")</f>
        <v/>
      </c>
      <c r="F819">
        <f>COMBIN(B819,D819)*C819^D819*(1-C819)^(B819-D819)</f>
        <v/>
      </c>
      <c r="G819">
        <f>G818+F819</f>
        <v/>
      </c>
    </row>
    <row r="820">
      <c r="A820" t="inlineStr">
        <is>
          <t>normal_low_9</t>
        </is>
      </c>
      <c r="B820" t="n">
        <v>9</v>
      </c>
      <c r="C820" t="n">
        <v>0.75852495</v>
      </c>
      <c r="D820" t="n">
        <v>5</v>
      </c>
      <c r="E820">
        <f>"COMBIN("&amp;B820&amp;","&amp;D820&amp;")*"&amp;C820&amp;"^"&amp;D820&amp;"*(1-"&amp;C820&amp;")^("&amp;B820&amp;"-"&amp;D820&amp;")</f>
        <v/>
      </c>
      <c r="F820">
        <f>COMBIN(B820,D820)*C820^D820*(1-C820)^(B820-D820)</f>
        <v/>
      </c>
      <c r="G820">
        <f>G819+F820</f>
        <v/>
      </c>
    </row>
    <row r="821">
      <c r="A821" t="inlineStr">
        <is>
          <t>normal_low_9</t>
        </is>
      </c>
      <c r="B821" t="n">
        <v>9</v>
      </c>
      <c r="C821" t="n">
        <v>0.75852495</v>
      </c>
      <c r="D821" t="n">
        <v>6</v>
      </c>
      <c r="E821">
        <f>"COMBIN("&amp;B821&amp;","&amp;D821&amp;")*"&amp;C821&amp;"^"&amp;D821&amp;"*(1-"&amp;C821&amp;")^("&amp;B821&amp;"-"&amp;D821&amp;")</f>
        <v/>
      </c>
      <c r="F821">
        <f>COMBIN(B821,D821)*C821^D821*(1-C821)^(B821-D821)</f>
        <v/>
      </c>
      <c r="G821">
        <f>G820+F821</f>
        <v/>
      </c>
    </row>
    <row r="822">
      <c r="A822" t="inlineStr">
        <is>
          <t>normal_low_9</t>
        </is>
      </c>
      <c r="B822" t="n">
        <v>9</v>
      </c>
      <c r="C822" t="n">
        <v>0.75852495</v>
      </c>
      <c r="D822" t="n">
        <v>7</v>
      </c>
      <c r="E822">
        <f>"COMBIN("&amp;B822&amp;","&amp;D822&amp;")*"&amp;C822&amp;"^"&amp;D822&amp;"*(1-"&amp;C822&amp;")^("&amp;B822&amp;"-"&amp;D822&amp;")</f>
        <v/>
      </c>
      <c r="F822">
        <f>COMBIN(B822,D822)*C822^D822*(1-C822)^(B822-D822)</f>
        <v/>
      </c>
      <c r="G822">
        <f>G821+F822</f>
        <v/>
      </c>
    </row>
    <row r="823">
      <c r="A823" t="inlineStr">
        <is>
          <t>normal_low_9</t>
        </is>
      </c>
      <c r="B823" t="n">
        <v>9</v>
      </c>
      <c r="C823" t="n">
        <v>0.75852495</v>
      </c>
      <c r="D823" t="n">
        <v>8</v>
      </c>
      <c r="E823">
        <f>"COMBIN("&amp;B823&amp;","&amp;D823&amp;")*"&amp;C823&amp;"^"&amp;D823&amp;"*(1-"&amp;C823&amp;")^("&amp;B823&amp;"-"&amp;D823&amp;")</f>
        <v/>
      </c>
      <c r="F823">
        <f>COMBIN(B823,D823)*C823^D823*(1-C823)^(B823-D823)</f>
        <v/>
      </c>
      <c r="G823">
        <f>G822+F823</f>
        <v/>
      </c>
    </row>
    <row r="824">
      <c r="A824" t="inlineStr">
        <is>
          <t>normal_low_9</t>
        </is>
      </c>
      <c r="B824" t="n">
        <v>9</v>
      </c>
      <c r="C824" t="n">
        <v>0.75852495</v>
      </c>
      <c r="D824" t="n">
        <v>9</v>
      </c>
      <c r="E824">
        <f>"COMBIN("&amp;B824&amp;","&amp;D824&amp;")*"&amp;C824&amp;"^"&amp;D824&amp;"*(1-"&amp;C824&amp;")^("&amp;B824&amp;"-"&amp;D824&amp;")</f>
        <v/>
      </c>
      <c r="F824">
        <f>COMBIN(B824,D824)*C824^D824*(1-C824)^(B824-D824)</f>
        <v/>
      </c>
      <c r="G824">
        <f>G823+F824</f>
        <v/>
      </c>
    </row>
    <row r="825">
      <c r="A825" t="inlineStr">
        <is>
          <t>normal_medium_10</t>
        </is>
      </c>
      <c r="B825" t="n">
        <v>10</v>
      </c>
      <c r="C825" t="n">
        <v>0.7238362</v>
      </c>
      <c r="D825" t="n">
        <v>0</v>
      </c>
      <c r="E825">
        <f>"COMBIN("&amp;B825&amp;","&amp;D825&amp;")*"&amp;C825&amp;"^"&amp;D825&amp;"*(1-"&amp;C825&amp;")^("&amp;B825&amp;"-"&amp;D825&amp;")</f>
        <v/>
      </c>
      <c r="F825">
        <f>COMBIN(B825,D825)*C825^D825*(1-C825)^(B825-D825)</f>
        <v/>
      </c>
      <c r="G825">
        <f>F825</f>
        <v/>
      </c>
      <c r="H825">
        <f>SUM(F825:F835)</f>
        <v/>
      </c>
    </row>
    <row r="826">
      <c r="A826" t="inlineStr">
        <is>
          <t>normal_medium_10</t>
        </is>
      </c>
      <c r="B826" t="n">
        <v>10</v>
      </c>
      <c r="C826" t="n">
        <v>0.7238362</v>
      </c>
      <c r="D826" t="n">
        <v>1</v>
      </c>
      <c r="E826">
        <f>"COMBIN("&amp;B826&amp;","&amp;D826&amp;")*"&amp;C826&amp;"^"&amp;D826&amp;"*(1-"&amp;C826&amp;")^("&amp;B826&amp;"-"&amp;D826&amp;")</f>
        <v/>
      </c>
      <c r="F826">
        <f>COMBIN(B826,D826)*C826^D826*(1-C826)^(B826-D826)</f>
        <v/>
      </c>
      <c r="G826">
        <f>G825+F826</f>
        <v/>
      </c>
    </row>
    <row r="827">
      <c r="A827" t="inlineStr">
        <is>
          <t>normal_medium_10</t>
        </is>
      </c>
      <c r="B827" t="n">
        <v>10</v>
      </c>
      <c r="C827" t="n">
        <v>0.7238362</v>
      </c>
      <c r="D827" t="n">
        <v>2</v>
      </c>
      <c r="E827">
        <f>"COMBIN("&amp;B827&amp;","&amp;D827&amp;")*"&amp;C827&amp;"^"&amp;D827&amp;"*(1-"&amp;C827&amp;")^("&amp;B827&amp;"-"&amp;D827&amp;")</f>
        <v/>
      </c>
      <c r="F827">
        <f>COMBIN(B827,D827)*C827^D827*(1-C827)^(B827-D827)</f>
        <v/>
      </c>
      <c r="G827">
        <f>G826+F827</f>
        <v/>
      </c>
    </row>
    <row r="828">
      <c r="A828" t="inlineStr">
        <is>
          <t>normal_medium_10</t>
        </is>
      </c>
      <c r="B828" t="n">
        <v>10</v>
      </c>
      <c r="C828" t="n">
        <v>0.7238362</v>
      </c>
      <c r="D828" t="n">
        <v>3</v>
      </c>
      <c r="E828">
        <f>"COMBIN("&amp;B828&amp;","&amp;D828&amp;")*"&amp;C828&amp;"^"&amp;D828&amp;"*(1-"&amp;C828&amp;")^("&amp;B828&amp;"-"&amp;D828&amp;")</f>
        <v/>
      </c>
      <c r="F828">
        <f>COMBIN(B828,D828)*C828^D828*(1-C828)^(B828-D828)</f>
        <v/>
      </c>
      <c r="G828">
        <f>G827+F828</f>
        <v/>
      </c>
    </row>
    <row r="829">
      <c r="A829" t="inlineStr">
        <is>
          <t>normal_medium_10</t>
        </is>
      </c>
      <c r="B829" t="n">
        <v>10</v>
      </c>
      <c r="C829" t="n">
        <v>0.7238362</v>
      </c>
      <c r="D829" t="n">
        <v>4</v>
      </c>
      <c r="E829">
        <f>"COMBIN("&amp;B829&amp;","&amp;D829&amp;")*"&amp;C829&amp;"^"&amp;D829&amp;"*(1-"&amp;C829&amp;")^("&amp;B829&amp;"-"&amp;D829&amp;")</f>
        <v/>
      </c>
      <c r="F829">
        <f>COMBIN(B829,D829)*C829^D829*(1-C829)^(B829-D829)</f>
        <v/>
      </c>
      <c r="G829">
        <f>G828+F829</f>
        <v/>
      </c>
    </row>
    <row r="830">
      <c r="A830" t="inlineStr">
        <is>
          <t>normal_medium_10</t>
        </is>
      </c>
      <c r="B830" t="n">
        <v>10</v>
      </c>
      <c r="C830" t="n">
        <v>0.7238362</v>
      </c>
      <c r="D830" t="n">
        <v>5</v>
      </c>
      <c r="E830">
        <f>"COMBIN("&amp;B830&amp;","&amp;D830&amp;")*"&amp;C830&amp;"^"&amp;D830&amp;"*(1-"&amp;C830&amp;")^("&amp;B830&amp;"-"&amp;D830&amp;")</f>
        <v/>
      </c>
      <c r="F830">
        <f>COMBIN(B830,D830)*C830^D830*(1-C830)^(B830-D830)</f>
        <v/>
      </c>
      <c r="G830">
        <f>G829+F830</f>
        <v/>
      </c>
    </row>
    <row r="831">
      <c r="A831" t="inlineStr">
        <is>
          <t>normal_medium_10</t>
        </is>
      </c>
      <c r="B831" t="n">
        <v>10</v>
      </c>
      <c r="C831" t="n">
        <v>0.7238362</v>
      </c>
      <c r="D831" t="n">
        <v>6</v>
      </c>
      <c r="E831">
        <f>"COMBIN("&amp;B831&amp;","&amp;D831&amp;")*"&amp;C831&amp;"^"&amp;D831&amp;"*(1-"&amp;C831&amp;")^("&amp;B831&amp;"-"&amp;D831&amp;")</f>
        <v/>
      </c>
      <c r="F831">
        <f>COMBIN(B831,D831)*C831^D831*(1-C831)^(B831-D831)</f>
        <v/>
      </c>
      <c r="G831">
        <f>G830+F831</f>
        <v/>
      </c>
    </row>
    <row r="832">
      <c r="A832" t="inlineStr">
        <is>
          <t>normal_medium_10</t>
        </is>
      </c>
      <c r="B832" t="n">
        <v>10</v>
      </c>
      <c r="C832" t="n">
        <v>0.7238362</v>
      </c>
      <c r="D832" t="n">
        <v>7</v>
      </c>
      <c r="E832">
        <f>"COMBIN("&amp;B832&amp;","&amp;D832&amp;")*"&amp;C832&amp;"^"&amp;D832&amp;"*(1-"&amp;C832&amp;")^("&amp;B832&amp;"-"&amp;D832&amp;")</f>
        <v/>
      </c>
      <c r="F832">
        <f>COMBIN(B832,D832)*C832^D832*(1-C832)^(B832-D832)</f>
        <v/>
      </c>
      <c r="G832">
        <f>G831+F832</f>
        <v/>
      </c>
    </row>
    <row r="833">
      <c r="A833" t="inlineStr">
        <is>
          <t>normal_medium_10</t>
        </is>
      </c>
      <c r="B833" t="n">
        <v>10</v>
      </c>
      <c r="C833" t="n">
        <v>0.7238362</v>
      </c>
      <c r="D833" t="n">
        <v>8</v>
      </c>
      <c r="E833">
        <f>"COMBIN("&amp;B833&amp;","&amp;D833&amp;")*"&amp;C833&amp;"^"&amp;D833&amp;"*(1-"&amp;C833&amp;")^("&amp;B833&amp;"-"&amp;D833&amp;")</f>
        <v/>
      </c>
      <c r="F833">
        <f>COMBIN(B833,D833)*C833^D833*(1-C833)^(B833-D833)</f>
        <v/>
      </c>
      <c r="G833">
        <f>G832+F833</f>
        <v/>
      </c>
    </row>
    <row r="834">
      <c r="A834" t="inlineStr">
        <is>
          <t>normal_medium_10</t>
        </is>
      </c>
      <c r="B834" t="n">
        <v>10</v>
      </c>
      <c r="C834" t="n">
        <v>0.7238362</v>
      </c>
      <c r="D834" t="n">
        <v>9</v>
      </c>
      <c r="E834">
        <f>"COMBIN("&amp;B834&amp;","&amp;D834&amp;")*"&amp;C834&amp;"^"&amp;D834&amp;"*(1-"&amp;C834&amp;")^("&amp;B834&amp;"-"&amp;D834&amp;")</f>
        <v/>
      </c>
      <c r="F834">
        <f>COMBIN(B834,D834)*C834^D834*(1-C834)^(B834-D834)</f>
        <v/>
      </c>
      <c r="G834">
        <f>G833+F834</f>
        <v/>
      </c>
    </row>
    <row r="835">
      <c r="A835" t="inlineStr">
        <is>
          <t>normal_medium_10</t>
        </is>
      </c>
      <c r="B835" t="n">
        <v>10</v>
      </c>
      <c r="C835" t="n">
        <v>0.7238362</v>
      </c>
      <c r="D835" t="n">
        <v>10</v>
      </c>
      <c r="E835">
        <f>"COMBIN("&amp;B835&amp;","&amp;D835&amp;")*"&amp;C835&amp;"^"&amp;D835&amp;"*(1-"&amp;C835&amp;")^("&amp;B835&amp;"-"&amp;D835&amp;")</f>
        <v/>
      </c>
      <c r="F835">
        <f>COMBIN(B835,D835)*C835^D835*(1-C835)^(B835-D835)</f>
        <v/>
      </c>
      <c r="G835">
        <f>G834+F835</f>
        <v/>
      </c>
    </row>
    <row r="836">
      <c r="A836" t="inlineStr">
        <is>
          <t>normal_medium_11</t>
        </is>
      </c>
      <c r="B836" t="n">
        <v>11</v>
      </c>
      <c r="C836" t="n">
        <v>0.73952088</v>
      </c>
      <c r="D836" t="n">
        <v>0</v>
      </c>
      <c r="E836">
        <f>"COMBIN("&amp;B836&amp;","&amp;D836&amp;")*"&amp;C836&amp;"^"&amp;D836&amp;"*(1-"&amp;C836&amp;")^("&amp;B836&amp;"-"&amp;D836&amp;")</f>
        <v/>
      </c>
      <c r="F836">
        <f>COMBIN(B836,D836)*C836^D836*(1-C836)^(B836-D836)</f>
        <v/>
      </c>
      <c r="G836">
        <f>F836</f>
        <v/>
      </c>
      <c r="H836">
        <f>SUM(F836:F847)</f>
        <v/>
      </c>
    </row>
    <row r="837">
      <c r="A837" t="inlineStr">
        <is>
          <t>normal_medium_11</t>
        </is>
      </c>
      <c r="B837" t="n">
        <v>11</v>
      </c>
      <c r="C837" t="n">
        <v>0.73952088</v>
      </c>
      <c r="D837" t="n">
        <v>1</v>
      </c>
      <c r="E837">
        <f>"COMBIN("&amp;B837&amp;","&amp;D837&amp;")*"&amp;C837&amp;"^"&amp;D837&amp;"*(1-"&amp;C837&amp;")^("&amp;B837&amp;"-"&amp;D837&amp;")</f>
        <v/>
      </c>
      <c r="F837">
        <f>COMBIN(B837,D837)*C837^D837*(1-C837)^(B837-D837)</f>
        <v/>
      </c>
      <c r="G837">
        <f>G836+F837</f>
        <v/>
      </c>
    </row>
    <row r="838">
      <c r="A838" t="inlineStr">
        <is>
          <t>normal_medium_11</t>
        </is>
      </c>
      <c r="B838" t="n">
        <v>11</v>
      </c>
      <c r="C838" t="n">
        <v>0.73952088</v>
      </c>
      <c r="D838" t="n">
        <v>2</v>
      </c>
      <c r="E838">
        <f>"COMBIN("&amp;B838&amp;","&amp;D838&amp;")*"&amp;C838&amp;"^"&amp;D838&amp;"*(1-"&amp;C838&amp;")^("&amp;B838&amp;"-"&amp;D838&amp;")</f>
        <v/>
      </c>
      <c r="F838">
        <f>COMBIN(B838,D838)*C838^D838*(1-C838)^(B838-D838)</f>
        <v/>
      </c>
      <c r="G838">
        <f>G837+F838</f>
        <v/>
      </c>
    </row>
    <row r="839">
      <c r="A839" t="inlineStr">
        <is>
          <t>normal_medium_11</t>
        </is>
      </c>
      <c r="B839" t="n">
        <v>11</v>
      </c>
      <c r="C839" t="n">
        <v>0.73952088</v>
      </c>
      <c r="D839" t="n">
        <v>3</v>
      </c>
      <c r="E839">
        <f>"COMBIN("&amp;B839&amp;","&amp;D839&amp;")*"&amp;C839&amp;"^"&amp;D839&amp;"*(1-"&amp;C839&amp;")^("&amp;B839&amp;"-"&amp;D839&amp;")</f>
        <v/>
      </c>
      <c r="F839">
        <f>COMBIN(B839,D839)*C839^D839*(1-C839)^(B839-D839)</f>
        <v/>
      </c>
      <c r="G839">
        <f>G838+F839</f>
        <v/>
      </c>
    </row>
    <row r="840">
      <c r="A840" t="inlineStr">
        <is>
          <t>normal_medium_11</t>
        </is>
      </c>
      <c r="B840" t="n">
        <v>11</v>
      </c>
      <c r="C840" t="n">
        <v>0.73952088</v>
      </c>
      <c r="D840" t="n">
        <v>4</v>
      </c>
      <c r="E840">
        <f>"COMBIN("&amp;B840&amp;","&amp;D840&amp;")*"&amp;C840&amp;"^"&amp;D840&amp;"*(1-"&amp;C840&amp;")^("&amp;B840&amp;"-"&amp;D840&amp;")</f>
        <v/>
      </c>
      <c r="F840">
        <f>COMBIN(B840,D840)*C840^D840*(1-C840)^(B840-D840)</f>
        <v/>
      </c>
      <c r="G840">
        <f>G839+F840</f>
        <v/>
      </c>
    </row>
    <row r="841">
      <c r="A841" t="inlineStr">
        <is>
          <t>normal_medium_11</t>
        </is>
      </c>
      <c r="B841" t="n">
        <v>11</v>
      </c>
      <c r="C841" t="n">
        <v>0.73952088</v>
      </c>
      <c r="D841" t="n">
        <v>5</v>
      </c>
      <c r="E841">
        <f>"COMBIN("&amp;B841&amp;","&amp;D841&amp;")*"&amp;C841&amp;"^"&amp;D841&amp;"*(1-"&amp;C841&amp;")^("&amp;B841&amp;"-"&amp;D841&amp;")</f>
        <v/>
      </c>
      <c r="F841">
        <f>COMBIN(B841,D841)*C841^D841*(1-C841)^(B841-D841)</f>
        <v/>
      </c>
      <c r="G841">
        <f>G840+F841</f>
        <v/>
      </c>
    </row>
    <row r="842">
      <c r="A842" t="inlineStr">
        <is>
          <t>normal_medium_11</t>
        </is>
      </c>
      <c r="B842" t="n">
        <v>11</v>
      </c>
      <c r="C842" t="n">
        <v>0.73952088</v>
      </c>
      <c r="D842" t="n">
        <v>6</v>
      </c>
      <c r="E842">
        <f>"COMBIN("&amp;B842&amp;","&amp;D842&amp;")*"&amp;C842&amp;"^"&amp;D842&amp;"*(1-"&amp;C842&amp;")^("&amp;B842&amp;"-"&amp;D842&amp;")</f>
        <v/>
      </c>
      <c r="F842">
        <f>COMBIN(B842,D842)*C842^D842*(1-C842)^(B842-D842)</f>
        <v/>
      </c>
      <c r="G842">
        <f>G841+F842</f>
        <v/>
      </c>
    </row>
    <row r="843">
      <c r="A843" t="inlineStr">
        <is>
          <t>normal_medium_11</t>
        </is>
      </c>
      <c r="B843" t="n">
        <v>11</v>
      </c>
      <c r="C843" t="n">
        <v>0.73952088</v>
      </c>
      <c r="D843" t="n">
        <v>7</v>
      </c>
      <c r="E843">
        <f>"COMBIN("&amp;B843&amp;","&amp;D843&amp;")*"&amp;C843&amp;"^"&amp;D843&amp;"*(1-"&amp;C843&amp;")^("&amp;B843&amp;"-"&amp;D843&amp;")</f>
        <v/>
      </c>
      <c r="F843">
        <f>COMBIN(B843,D843)*C843^D843*(1-C843)^(B843-D843)</f>
        <v/>
      </c>
      <c r="G843">
        <f>G842+F843</f>
        <v/>
      </c>
    </row>
    <row r="844">
      <c r="A844" t="inlineStr">
        <is>
          <t>normal_medium_11</t>
        </is>
      </c>
      <c r="B844" t="n">
        <v>11</v>
      </c>
      <c r="C844" t="n">
        <v>0.73952088</v>
      </c>
      <c r="D844" t="n">
        <v>8</v>
      </c>
      <c r="E844">
        <f>"COMBIN("&amp;B844&amp;","&amp;D844&amp;")*"&amp;C844&amp;"^"&amp;D844&amp;"*(1-"&amp;C844&amp;")^("&amp;B844&amp;"-"&amp;D844&amp;")</f>
        <v/>
      </c>
      <c r="F844">
        <f>COMBIN(B844,D844)*C844^D844*(1-C844)^(B844-D844)</f>
        <v/>
      </c>
      <c r="G844">
        <f>G843+F844</f>
        <v/>
      </c>
    </row>
    <row r="845">
      <c r="A845" t="inlineStr">
        <is>
          <t>normal_medium_11</t>
        </is>
      </c>
      <c r="B845" t="n">
        <v>11</v>
      </c>
      <c r="C845" t="n">
        <v>0.73952088</v>
      </c>
      <c r="D845" t="n">
        <v>9</v>
      </c>
      <c r="E845">
        <f>"COMBIN("&amp;B845&amp;","&amp;D845&amp;")*"&amp;C845&amp;"^"&amp;D845&amp;"*(1-"&amp;C845&amp;")^("&amp;B845&amp;"-"&amp;D845&amp;")</f>
        <v/>
      </c>
      <c r="F845">
        <f>COMBIN(B845,D845)*C845^D845*(1-C845)^(B845-D845)</f>
        <v/>
      </c>
      <c r="G845">
        <f>G844+F845</f>
        <v/>
      </c>
    </row>
    <row r="846">
      <c r="A846" t="inlineStr">
        <is>
          <t>normal_medium_11</t>
        </is>
      </c>
      <c r="B846" t="n">
        <v>11</v>
      </c>
      <c r="C846" t="n">
        <v>0.73952088</v>
      </c>
      <c r="D846" t="n">
        <v>10</v>
      </c>
      <c r="E846">
        <f>"COMBIN("&amp;B846&amp;","&amp;D846&amp;")*"&amp;C846&amp;"^"&amp;D846&amp;"*(1-"&amp;C846&amp;")^("&amp;B846&amp;"-"&amp;D846&amp;")</f>
        <v/>
      </c>
      <c r="F846">
        <f>COMBIN(B846,D846)*C846^D846*(1-C846)^(B846-D846)</f>
        <v/>
      </c>
      <c r="G846">
        <f>G845+F846</f>
        <v/>
      </c>
    </row>
    <row r="847">
      <c r="A847" t="inlineStr">
        <is>
          <t>normal_medium_11</t>
        </is>
      </c>
      <c r="B847" t="n">
        <v>11</v>
      </c>
      <c r="C847" t="n">
        <v>0.73952088</v>
      </c>
      <c r="D847" t="n">
        <v>11</v>
      </c>
      <c r="E847">
        <f>"COMBIN("&amp;B847&amp;","&amp;D847&amp;")*"&amp;C847&amp;"^"&amp;D847&amp;"*(1-"&amp;C847&amp;")^("&amp;B847&amp;"-"&amp;D847&amp;")</f>
        <v/>
      </c>
      <c r="F847">
        <f>COMBIN(B847,D847)*C847^D847*(1-C847)^(B847-D847)</f>
        <v/>
      </c>
      <c r="G847">
        <f>G846+F847</f>
        <v/>
      </c>
    </row>
    <row r="848">
      <c r="A848" t="inlineStr">
        <is>
          <t>normal_medium_12</t>
        </is>
      </c>
      <c r="B848" t="n">
        <v>12</v>
      </c>
      <c r="C848" t="n">
        <v>0.7384317</v>
      </c>
      <c r="D848" t="n">
        <v>0</v>
      </c>
      <c r="E848">
        <f>"COMBIN("&amp;B848&amp;","&amp;D848&amp;")*"&amp;C848&amp;"^"&amp;D848&amp;"*(1-"&amp;C848&amp;")^("&amp;B848&amp;"-"&amp;D848&amp;")</f>
        <v/>
      </c>
      <c r="F848">
        <f>COMBIN(B848,D848)*C848^D848*(1-C848)^(B848-D848)</f>
        <v/>
      </c>
      <c r="G848">
        <f>F848</f>
        <v/>
      </c>
      <c r="H848">
        <f>SUM(F848:F860)</f>
        <v/>
      </c>
    </row>
    <row r="849">
      <c r="A849" t="inlineStr">
        <is>
          <t>normal_medium_12</t>
        </is>
      </c>
      <c r="B849" t="n">
        <v>12</v>
      </c>
      <c r="C849" t="n">
        <v>0.7384317</v>
      </c>
      <c r="D849" t="n">
        <v>1</v>
      </c>
      <c r="E849">
        <f>"COMBIN("&amp;B849&amp;","&amp;D849&amp;")*"&amp;C849&amp;"^"&amp;D849&amp;"*(1-"&amp;C849&amp;")^("&amp;B849&amp;"-"&amp;D849&amp;")</f>
        <v/>
      </c>
      <c r="F849">
        <f>COMBIN(B849,D849)*C849^D849*(1-C849)^(B849-D849)</f>
        <v/>
      </c>
      <c r="G849">
        <f>G848+F849</f>
        <v/>
      </c>
    </row>
    <row r="850">
      <c r="A850" t="inlineStr">
        <is>
          <t>normal_medium_12</t>
        </is>
      </c>
      <c r="B850" t="n">
        <v>12</v>
      </c>
      <c r="C850" t="n">
        <v>0.7384317</v>
      </c>
      <c r="D850" t="n">
        <v>2</v>
      </c>
      <c r="E850">
        <f>"COMBIN("&amp;B850&amp;","&amp;D850&amp;")*"&amp;C850&amp;"^"&amp;D850&amp;"*(1-"&amp;C850&amp;")^("&amp;B850&amp;"-"&amp;D850&amp;")</f>
        <v/>
      </c>
      <c r="F850">
        <f>COMBIN(B850,D850)*C850^D850*(1-C850)^(B850-D850)</f>
        <v/>
      </c>
      <c r="G850">
        <f>G849+F850</f>
        <v/>
      </c>
    </row>
    <row r="851">
      <c r="A851" t="inlineStr">
        <is>
          <t>normal_medium_12</t>
        </is>
      </c>
      <c r="B851" t="n">
        <v>12</v>
      </c>
      <c r="C851" t="n">
        <v>0.7384317</v>
      </c>
      <c r="D851" t="n">
        <v>3</v>
      </c>
      <c r="E851">
        <f>"COMBIN("&amp;B851&amp;","&amp;D851&amp;")*"&amp;C851&amp;"^"&amp;D851&amp;"*(1-"&amp;C851&amp;")^("&amp;B851&amp;"-"&amp;D851&amp;")</f>
        <v/>
      </c>
      <c r="F851">
        <f>COMBIN(B851,D851)*C851^D851*(1-C851)^(B851-D851)</f>
        <v/>
      </c>
      <c r="G851">
        <f>G850+F851</f>
        <v/>
      </c>
    </row>
    <row r="852">
      <c r="A852" t="inlineStr">
        <is>
          <t>normal_medium_12</t>
        </is>
      </c>
      <c r="B852" t="n">
        <v>12</v>
      </c>
      <c r="C852" t="n">
        <v>0.7384317</v>
      </c>
      <c r="D852" t="n">
        <v>4</v>
      </c>
      <c r="E852">
        <f>"COMBIN("&amp;B852&amp;","&amp;D852&amp;")*"&amp;C852&amp;"^"&amp;D852&amp;"*(1-"&amp;C852&amp;")^("&amp;B852&amp;"-"&amp;D852&amp;")</f>
        <v/>
      </c>
      <c r="F852">
        <f>COMBIN(B852,D852)*C852^D852*(1-C852)^(B852-D852)</f>
        <v/>
      </c>
      <c r="G852">
        <f>G851+F852</f>
        <v/>
      </c>
    </row>
    <row r="853">
      <c r="A853" t="inlineStr">
        <is>
          <t>normal_medium_12</t>
        </is>
      </c>
      <c r="B853" t="n">
        <v>12</v>
      </c>
      <c r="C853" t="n">
        <v>0.7384317</v>
      </c>
      <c r="D853" t="n">
        <v>5</v>
      </c>
      <c r="E853">
        <f>"COMBIN("&amp;B853&amp;","&amp;D853&amp;")*"&amp;C853&amp;"^"&amp;D853&amp;"*(1-"&amp;C853&amp;")^("&amp;B853&amp;"-"&amp;D853&amp;")</f>
        <v/>
      </c>
      <c r="F853">
        <f>COMBIN(B853,D853)*C853^D853*(1-C853)^(B853-D853)</f>
        <v/>
      </c>
      <c r="G853">
        <f>G852+F853</f>
        <v/>
      </c>
    </row>
    <row r="854">
      <c r="A854" t="inlineStr">
        <is>
          <t>normal_medium_12</t>
        </is>
      </c>
      <c r="B854" t="n">
        <v>12</v>
      </c>
      <c r="C854" t="n">
        <v>0.7384317</v>
      </c>
      <c r="D854" t="n">
        <v>6</v>
      </c>
      <c r="E854">
        <f>"COMBIN("&amp;B854&amp;","&amp;D854&amp;")*"&amp;C854&amp;"^"&amp;D854&amp;"*(1-"&amp;C854&amp;")^("&amp;B854&amp;"-"&amp;D854&amp;")</f>
        <v/>
      </c>
      <c r="F854">
        <f>COMBIN(B854,D854)*C854^D854*(1-C854)^(B854-D854)</f>
        <v/>
      </c>
      <c r="G854">
        <f>G853+F854</f>
        <v/>
      </c>
    </row>
    <row r="855">
      <c r="A855" t="inlineStr">
        <is>
          <t>normal_medium_12</t>
        </is>
      </c>
      <c r="B855" t="n">
        <v>12</v>
      </c>
      <c r="C855" t="n">
        <v>0.7384317</v>
      </c>
      <c r="D855" t="n">
        <v>7</v>
      </c>
      <c r="E855">
        <f>"COMBIN("&amp;B855&amp;","&amp;D855&amp;")*"&amp;C855&amp;"^"&amp;D855&amp;"*(1-"&amp;C855&amp;")^("&amp;B855&amp;"-"&amp;D855&amp;")</f>
        <v/>
      </c>
      <c r="F855">
        <f>COMBIN(B855,D855)*C855^D855*(1-C855)^(B855-D855)</f>
        <v/>
      </c>
      <c r="G855">
        <f>G854+F855</f>
        <v/>
      </c>
    </row>
    <row r="856">
      <c r="A856" t="inlineStr">
        <is>
          <t>normal_medium_12</t>
        </is>
      </c>
      <c r="B856" t="n">
        <v>12</v>
      </c>
      <c r="C856" t="n">
        <v>0.7384317</v>
      </c>
      <c r="D856" t="n">
        <v>8</v>
      </c>
      <c r="E856">
        <f>"COMBIN("&amp;B856&amp;","&amp;D856&amp;")*"&amp;C856&amp;"^"&amp;D856&amp;"*(1-"&amp;C856&amp;")^("&amp;B856&amp;"-"&amp;D856&amp;")</f>
        <v/>
      </c>
      <c r="F856">
        <f>COMBIN(B856,D856)*C856^D856*(1-C856)^(B856-D856)</f>
        <v/>
      </c>
      <c r="G856">
        <f>G855+F856</f>
        <v/>
      </c>
    </row>
    <row r="857">
      <c r="A857" t="inlineStr">
        <is>
          <t>normal_medium_12</t>
        </is>
      </c>
      <c r="B857" t="n">
        <v>12</v>
      </c>
      <c r="C857" t="n">
        <v>0.7384317</v>
      </c>
      <c r="D857" t="n">
        <v>9</v>
      </c>
      <c r="E857">
        <f>"COMBIN("&amp;B857&amp;","&amp;D857&amp;")*"&amp;C857&amp;"^"&amp;D857&amp;"*(1-"&amp;C857&amp;")^("&amp;B857&amp;"-"&amp;D857&amp;")</f>
        <v/>
      </c>
      <c r="F857">
        <f>COMBIN(B857,D857)*C857^D857*(1-C857)^(B857-D857)</f>
        <v/>
      </c>
      <c r="G857">
        <f>G856+F857</f>
        <v/>
      </c>
    </row>
    <row r="858">
      <c r="A858" t="inlineStr">
        <is>
          <t>normal_medium_12</t>
        </is>
      </c>
      <c r="B858" t="n">
        <v>12</v>
      </c>
      <c r="C858" t="n">
        <v>0.7384317</v>
      </c>
      <c r="D858" t="n">
        <v>10</v>
      </c>
      <c r="E858">
        <f>"COMBIN("&amp;B858&amp;","&amp;D858&amp;")*"&amp;C858&amp;"^"&amp;D858&amp;"*(1-"&amp;C858&amp;")^("&amp;B858&amp;"-"&amp;D858&amp;")</f>
        <v/>
      </c>
      <c r="F858">
        <f>COMBIN(B858,D858)*C858^D858*(1-C858)^(B858-D858)</f>
        <v/>
      </c>
      <c r="G858">
        <f>G857+F858</f>
        <v/>
      </c>
    </row>
    <row r="859">
      <c r="A859" t="inlineStr">
        <is>
          <t>normal_medium_12</t>
        </is>
      </c>
      <c r="B859" t="n">
        <v>12</v>
      </c>
      <c r="C859" t="n">
        <v>0.7384317</v>
      </c>
      <c r="D859" t="n">
        <v>11</v>
      </c>
      <c r="E859">
        <f>"COMBIN("&amp;B859&amp;","&amp;D859&amp;")*"&amp;C859&amp;"^"&amp;D859&amp;"*(1-"&amp;C859&amp;")^("&amp;B859&amp;"-"&amp;D859&amp;")</f>
        <v/>
      </c>
      <c r="F859">
        <f>COMBIN(B859,D859)*C859^D859*(1-C859)^(B859-D859)</f>
        <v/>
      </c>
      <c r="G859">
        <f>G858+F859</f>
        <v/>
      </c>
    </row>
    <row r="860">
      <c r="A860" t="inlineStr">
        <is>
          <t>normal_medium_12</t>
        </is>
      </c>
      <c r="B860" t="n">
        <v>12</v>
      </c>
      <c r="C860" t="n">
        <v>0.7384317</v>
      </c>
      <c r="D860" t="n">
        <v>12</v>
      </c>
      <c r="E860">
        <f>"COMBIN("&amp;B860&amp;","&amp;D860&amp;")*"&amp;C860&amp;"^"&amp;D860&amp;"*(1-"&amp;C860&amp;")^("&amp;B860&amp;"-"&amp;D860&amp;")</f>
        <v/>
      </c>
      <c r="F860">
        <f>COMBIN(B860,D860)*C860^D860*(1-C860)^(B860-D860)</f>
        <v/>
      </c>
      <c r="G860">
        <f>G859+F860</f>
        <v/>
      </c>
    </row>
    <row r="861">
      <c r="A861" t="inlineStr">
        <is>
          <t>normal_medium_13</t>
        </is>
      </c>
      <c r="B861" t="n">
        <v>13</v>
      </c>
      <c r="C861" t="n">
        <v>0.73987876</v>
      </c>
      <c r="D861" t="n">
        <v>0</v>
      </c>
      <c r="E861">
        <f>"COMBIN("&amp;B861&amp;","&amp;D861&amp;")*"&amp;C861&amp;"^"&amp;D861&amp;"*(1-"&amp;C861&amp;")^("&amp;B861&amp;"-"&amp;D861&amp;")</f>
        <v/>
      </c>
      <c r="F861">
        <f>COMBIN(B861,D861)*C861^D861*(1-C861)^(B861-D861)</f>
        <v/>
      </c>
      <c r="G861">
        <f>F861</f>
        <v/>
      </c>
      <c r="H861">
        <f>SUM(F861:F874)</f>
        <v/>
      </c>
    </row>
    <row r="862">
      <c r="A862" t="inlineStr">
        <is>
          <t>normal_medium_13</t>
        </is>
      </c>
      <c r="B862" t="n">
        <v>13</v>
      </c>
      <c r="C862" t="n">
        <v>0.73987876</v>
      </c>
      <c r="D862" t="n">
        <v>1</v>
      </c>
      <c r="E862">
        <f>"COMBIN("&amp;B862&amp;","&amp;D862&amp;")*"&amp;C862&amp;"^"&amp;D862&amp;"*(1-"&amp;C862&amp;")^("&amp;B862&amp;"-"&amp;D862&amp;")</f>
        <v/>
      </c>
      <c r="F862">
        <f>COMBIN(B862,D862)*C862^D862*(1-C862)^(B862-D862)</f>
        <v/>
      </c>
      <c r="G862">
        <f>G861+F862</f>
        <v/>
      </c>
    </row>
    <row r="863">
      <c r="A863" t="inlineStr">
        <is>
          <t>normal_medium_13</t>
        </is>
      </c>
      <c r="B863" t="n">
        <v>13</v>
      </c>
      <c r="C863" t="n">
        <v>0.73987876</v>
      </c>
      <c r="D863" t="n">
        <v>2</v>
      </c>
      <c r="E863">
        <f>"COMBIN("&amp;B863&amp;","&amp;D863&amp;")*"&amp;C863&amp;"^"&amp;D863&amp;"*(1-"&amp;C863&amp;")^("&amp;B863&amp;"-"&amp;D863&amp;")</f>
        <v/>
      </c>
      <c r="F863">
        <f>COMBIN(B863,D863)*C863^D863*(1-C863)^(B863-D863)</f>
        <v/>
      </c>
      <c r="G863">
        <f>G862+F863</f>
        <v/>
      </c>
    </row>
    <row r="864">
      <c r="A864" t="inlineStr">
        <is>
          <t>normal_medium_13</t>
        </is>
      </c>
      <c r="B864" t="n">
        <v>13</v>
      </c>
      <c r="C864" t="n">
        <v>0.73987876</v>
      </c>
      <c r="D864" t="n">
        <v>3</v>
      </c>
      <c r="E864">
        <f>"COMBIN("&amp;B864&amp;","&amp;D864&amp;")*"&amp;C864&amp;"^"&amp;D864&amp;"*(1-"&amp;C864&amp;")^("&amp;B864&amp;"-"&amp;D864&amp;")</f>
        <v/>
      </c>
      <c r="F864">
        <f>COMBIN(B864,D864)*C864^D864*(1-C864)^(B864-D864)</f>
        <v/>
      </c>
      <c r="G864">
        <f>G863+F864</f>
        <v/>
      </c>
    </row>
    <row r="865">
      <c r="A865" t="inlineStr">
        <is>
          <t>normal_medium_13</t>
        </is>
      </c>
      <c r="B865" t="n">
        <v>13</v>
      </c>
      <c r="C865" t="n">
        <v>0.73987876</v>
      </c>
      <c r="D865" t="n">
        <v>4</v>
      </c>
      <c r="E865">
        <f>"COMBIN("&amp;B865&amp;","&amp;D865&amp;")*"&amp;C865&amp;"^"&amp;D865&amp;"*(1-"&amp;C865&amp;")^("&amp;B865&amp;"-"&amp;D865&amp;")</f>
        <v/>
      </c>
      <c r="F865">
        <f>COMBIN(B865,D865)*C865^D865*(1-C865)^(B865-D865)</f>
        <v/>
      </c>
      <c r="G865">
        <f>G864+F865</f>
        <v/>
      </c>
    </row>
    <row r="866">
      <c r="A866" t="inlineStr">
        <is>
          <t>normal_medium_13</t>
        </is>
      </c>
      <c r="B866" t="n">
        <v>13</v>
      </c>
      <c r="C866" t="n">
        <v>0.73987876</v>
      </c>
      <c r="D866" t="n">
        <v>5</v>
      </c>
      <c r="E866">
        <f>"COMBIN("&amp;B866&amp;","&amp;D866&amp;")*"&amp;C866&amp;"^"&amp;D866&amp;"*(1-"&amp;C866&amp;")^("&amp;B866&amp;"-"&amp;D866&amp;")</f>
        <v/>
      </c>
      <c r="F866">
        <f>COMBIN(B866,D866)*C866^D866*(1-C866)^(B866-D866)</f>
        <v/>
      </c>
      <c r="G866">
        <f>G865+F866</f>
        <v/>
      </c>
    </row>
    <row r="867">
      <c r="A867" t="inlineStr">
        <is>
          <t>normal_medium_13</t>
        </is>
      </c>
      <c r="B867" t="n">
        <v>13</v>
      </c>
      <c r="C867" t="n">
        <v>0.73987876</v>
      </c>
      <c r="D867" t="n">
        <v>6</v>
      </c>
      <c r="E867">
        <f>"COMBIN("&amp;B867&amp;","&amp;D867&amp;")*"&amp;C867&amp;"^"&amp;D867&amp;"*(1-"&amp;C867&amp;")^("&amp;B867&amp;"-"&amp;D867&amp;")</f>
        <v/>
      </c>
      <c r="F867">
        <f>COMBIN(B867,D867)*C867^D867*(1-C867)^(B867-D867)</f>
        <v/>
      </c>
      <c r="G867">
        <f>G866+F867</f>
        <v/>
      </c>
    </row>
    <row r="868">
      <c r="A868" t="inlineStr">
        <is>
          <t>normal_medium_13</t>
        </is>
      </c>
      <c r="B868" t="n">
        <v>13</v>
      </c>
      <c r="C868" t="n">
        <v>0.73987876</v>
      </c>
      <c r="D868" t="n">
        <v>7</v>
      </c>
      <c r="E868">
        <f>"COMBIN("&amp;B868&amp;","&amp;D868&amp;")*"&amp;C868&amp;"^"&amp;D868&amp;"*(1-"&amp;C868&amp;")^("&amp;B868&amp;"-"&amp;D868&amp;")</f>
        <v/>
      </c>
      <c r="F868">
        <f>COMBIN(B868,D868)*C868^D868*(1-C868)^(B868-D868)</f>
        <v/>
      </c>
      <c r="G868">
        <f>G867+F868</f>
        <v/>
      </c>
    </row>
    <row r="869">
      <c r="A869" t="inlineStr">
        <is>
          <t>normal_medium_13</t>
        </is>
      </c>
      <c r="B869" t="n">
        <v>13</v>
      </c>
      <c r="C869" t="n">
        <v>0.73987876</v>
      </c>
      <c r="D869" t="n">
        <v>8</v>
      </c>
      <c r="E869">
        <f>"COMBIN("&amp;B869&amp;","&amp;D869&amp;")*"&amp;C869&amp;"^"&amp;D869&amp;"*(1-"&amp;C869&amp;")^("&amp;B869&amp;"-"&amp;D869&amp;")</f>
        <v/>
      </c>
      <c r="F869">
        <f>COMBIN(B869,D869)*C869^D869*(1-C869)^(B869-D869)</f>
        <v/>
      </c>
      <c r="G869">
        <f>G868+F869</f>
        <v/>
      </c>
    </row>
    <row r="870">
      <c r="A870" t="inlineStr">
        <is>
          <t>normal_medium_13</t>
        </is>
      </c>
      <c r="B870" t="n">
        <v>13</v>
      </c>
      <c r="C870" t="n">
        <v>0.73987876</v>
      </c>
      <c r="D870" t="n">
        <v>9</v>
      </c>
      <c r="E870">
        <f>"COMBIN("&amp;B870&amp;","&amp;D870&amp;")*"&amp;C870&amp;"^"&amp;D870&amp;"*(1-"&amp;C870&amp;")^("&amp;B870&amp;"-"&amp;D870&amp;")</f>
        <v/>
      </c>
      <c r="F870">
        <f>COMBIN(B870,D870)*C870^D870*(1-C870)^(B870-D870)</f>
        <v/>
      </c>
      <c r="G870">
        <f>G869+F870</f>
        <v/>
      </c>
    </row>
    <row r="871">
      <c r="A871" t="inlineStr">
        <is>
          <t>normal_medium_13</t>
        </is>
      </c>
      <c r="B871" t="n">
        <v>13</v>
      </c>
      <c r="C871" t="n">
        <v>0.73987876</v>
      </c>
      <c r="D871" t="n">
        <v>10</v>
      </c>
      <c r="E871">
        <f>"COMBIN("&amp;B871&amp;","&amp;D871&amp;")*"&amp;C871&amp;"^"&amp;D871&amp;"*(1-"&amp;C871&amp;")^("&amp;B871&amp;"-"&amp;D871&amp;")</f>
        <v/>
      </c>
      <c r="F871">
        <f>COMBIN(B871,D871)*C871^D871*(1-C871)^(B871-D871)</f>
        <v/>
      </c>
      <c r="G871">
        <f>G870+F871</f>
        <v/>
      </c>
    </row>
    <row r="872">
      <c r="A872" t="inlineStr">
        <is>
          <t>normal_medium_13</t>
        </is>
      </c>
      <c r="B872" t="n">
        <v>13</v>
      </c>
      <c r="C872" t="n">
        <v>0.73987876</v>
      </c>
      <c r="D872" t="n">
        <v>11</v>
      </c>
      <c r="E872">
        <f>"COMBIN("&amp;B872&amp;","&amp;D872&amp;")*"&amp;C872&amp;"^"&amp;D872&amp;"*(1-"&amp;C872&amp;")^("&amp;B872&amp;"-"&amp;D872&amp;")</f>
        <v/>
      </c>
      <c r="F872">
        <f>COMBIN(B872,D872)*C872^D872*(1-C872)^(B872-D872)</f>
        <v/>
      </c>
      <c r="G872">
        <f>G871+F872</f>
        <v/>
      </c>
    </row>
    <row r="873">
      <c r="A873" t="inlineStr">
        <is>
          <t>normal_medium_13</t>
        </is>
      </c>
      <c r="B873" t="n">
        <v>13</v>
      </c>
      <c r="C873" t="n">
        <v>0.73987876</v>
      </c>
      <c r="D873" t="n">
        <v>12</v>
      </c>
      <c r="E873">
        <f>"COMBIN("&amp;B873&amp;","&amp;D873&amp;")*"&amp;C873&amp;"^"&amp;D873&amp;"*(1-"&amp;C873&amp;")^("&amp;B873&amp;"-"&amp;D873&amp;")</f>
        <v/>
      </c>
      <c r="F873">
        <f>COMBIN(B873,D873)*C873^D873*(1-C873)^(B873-D873)</f>
        <v/>
      </c>
      <c r="G873">
        <f>G872+F873</f>
        <v/>
      </c>
    </row>
    <row r="874">
      <c r="A874" t="inlineStr">
        <is>
          <t>normal_medium_13</t>
        </is>
      </c>
      <c r="B874" t="n">
        <v>13</v>
      </c>
      <c r="C874" t="n">
        <v>0.73987876</v>
      </c>
      <c r="D874" t="n">
        <v>13</v>
      </c>
      <c r="E874">
        <f>"COMBIN("&amp;B874&amp;","&amp;D874&amp;")*"&amp;C874&amp;"^"&amp;D874&amp;"*(1-"&amp;C874&amp;")^("&amp;B874&amp;"-"&amp;D874&amp;")</f>
        <v/>
      </c>
      <c r="F874">
        <f>COMBIN(B874,D874)*C874^D874*(1-C874)^(B874-D874)</f>
        <v/>
      </c>
      <c r="G874">
        <f>G873+F874</f>
        <v/>
      </c>
    </row>
    <row r="875">
      <c r="A875" t="inlineStr">
        <is>
          <t>normal_medium_14</t>
        </is>
      </c>
      <c r="B875" t="n">
        <v>14</v>
      </c>
      <c r="C875" t="n">
        <v>0.72247932</v>
      </c>
      <c r="D875" t="n">
        <v>0</v>
      </c>
      <c r="E875">
        <f>"COMBIN("&amp;B875&amp;","&amp;D875&amp;")*"&amp;C875&amp;"^"&amp;D875&amp;"*(1-"&amp;C875&amp;")^("&amp;B875&amp;"-"&amp;D875&amp;")</f>
        <v/>
      </c>
      <c r="F875">
        <f>COMBIN(B875,D875)*C875^D875*(1-C875)^(B875-D875)</f>
        <v/>
      </c>
      <c r="G875">
        <f>F875</f>
        <v/>
      </c>
      <c r="H875">
        <f>SUM(F875:F889)</f>
        <v/>
      </c>
    </row>
    <row r="876">
      <c r="A876" t="inlineStr">
        <is>
          <t>normal_medium_14</t>
        </is>
      </c>
      <c r="B876" t="n">
        <v>14</v>
      </c>
      <c r="C876" t="n">
        <v>0.72247932</v>
      </c>
      <c r="D876" t="n">
        <v>1</v>
      </c>
      <c r="E876">
        <f>"COMBIN("&amp;B876&amp;","&amp;D876&amp;")*"&amp;C876&amp;"^"&amp;D876&amp;"*(1-"&amp;C876&amp;")^("&amp;B876&amp;"-"&amp;D876&amp;")</f>
        <v/>
      </c>
      <c r="F876">
        <f>COMBIN(B876,D876)*C876^D876*(1-C876)^(B876-D876)</f>
        <v/>
      </c>
      <c r="G876">
        <f>G875+F876</f>
        <v/>
      </c>
    </row>
    <row r="877">
      <c r="A877" t="inlineStr">
        <is>
          <t>normal_medium_14</t>
        </is>
      </c>
      <c r="B877" t="n">
        <v>14</v>
      </c>
      <c r="C877" t="n">
        <v>0.72247932</v>
      </c>
      <c r="D877" t="n">
        <v>2</v>
      </c>
      <c r="E877">
        <f>"COMBIN("&amp;B877&amp;","&amp;D877&amp;")*"&amp;C877&amp;"^"&amp;D877&amp;"*(1-"&amp;C877&amp;")^("&amp;B877&amp;"-"&amp;D877&amp;")</f>
        <v/>
      </c>
      <c r="F877">
        <f>COMBIN(B877,D877)*C877^D877*(1-C877)^(B877-D877)</f>
        <v/>
      </c>
      <c r="G877">
        <f>G876+F877</f>
        <v/>
      </c>
    </row>
    <row r="878">
      <c r="A878" t="inlineStr">
        <is>
          <t>normal_medium_14</t>
        </is>
      </c>
      <c r="B878" t="n">
        <v>14</v>
      </c>
      <c r="C878" t="n">
        <v>0.72247932</v>
      </c>
      <c r="D878" t="n">
        <v>3</v>
      </c>
      <c r="E878">
        <f>"COMBIN("&amp;B878&amp;","&amp;D878&amp;")*"&amp;C878&amp;"^"&amp;D878&amp;"*(1-"&amp;C878&amp;")^("&amp;B878&amp;"-"&amp;D878&amp;")</f>
        <v/>
      </c>
      <c r="F878">
        <f>COMBIN(B878,D878)*C878^D878*(1-C878)^(B878-D878)</f>
        <v/>
      </c>
      <c r="G878">
        <f>G877+F878</f>
        <v/>
      </c>
    </row>
    <row r="879">
      <c r="A879" t="inlineStr">
        <is>
          <t>normal_medium_14</t>
        </is>
      </c>
      <c r="B879" t="n">
        <v>14</v>
      </c>
      <c r="C879" t="n">
        <v>0.72247932</v>
      </c>
      <c r="D879" t="n">
        <v>4</v>
      </c>
      <c r="E879">
        <f>"COMBIN("&amp;B879&amp;","&amp;D879&amp;")*"&amp;C879&amp;"^"&amp;D879&amp;"*(1-"&amp;C879&amp;")^("&amp;B879&amp;"-"&amp;D879&amp;")</f>
        <v/>
      </c>
      <c r="F879">
        <f>COMBIN(B879,D879)*C879^D879*(1-C879)^(B879-D879)</f>
        <v/>
      </c>
      <c r="G879">
        <f>G878+F879</f>
        <v/>
      </c>
    </row>
    <row r="880">
      <c r="A880" t="inlineStr">
        <is>
          <t>normal_medium_14</t>
        </is>
      </c>
      <c r="B880" t="n">
        <v>14</v>
      </c>
      <c r="C880" t="n">
        <v>0.72247932</v>
      </c>
      <c r="D880" t="n">
        <v>5</v>
      </c>
      <c r="E880">
        <f>"COMBIN("&amp;B880&amp;","&amp;D880&amp;")*"&amp;C880&amp;"^"&amp;D880&amp;"*(1-"&amp;C880&amp;")^("&amp;B880&amp;"-"&amp;D880&amp;")</f>
        <v/>
      </c>
      <c r="F880">
        <f>COMBIN(B880,D880)*C880^D880*(1-C880)^(B880-D880)</f>
        <v/>
      </c>
      <c r="G880">
        <f>G879+F880</f>
        <v/>
      </c>
    </row>
    <row r="881">
      <c r="A881" t="inlineStr">
        <is>
          <t>normal_medium_14</t>
        </is>
      </c>
      <c r="B881" t="n">
        <v>14</v>
      </c>
      <c r="C881" t="n">
        <v>0.72247932</v>
      </c>
      <c r="D881" t="n">
        <v>6</v>
      </c>
      <c r="E881">
        <f>"COMBIN("&amp;B881&amp;","&amp;D881&amp;")*"&amp;C881&amp;"^"&amp;D881&amp;"*(1-"&amp;C881&amp;")^("&amp;B881&amp;"-"&amp;D881&amp;")</f>
        <v/>
      </c>
      <c r="F881">
        <f>COMBIN(B881,D881)*C881^D881*(1-C881)^(B881-D881)</f>
        <v/>
      </c>
      <c r="G881">
        <f>G880+F881</f>
        <v/>
      </c>
    </row>
    <row r="882">
      <c r="A882" t="inlineStr">
        <is>
          <t>normal_medium_14</t>
        </is>
      </c>
      <c r="B882" t="n">
        <v>14</v>
      </c>
      <c r="C882" t="n">
        <v>0.72247932</v>
      </c>
      <c r="D882" t="n">
        <v>7</v>
      </c>
      <c r="E882">
        <f>"COMBIN("&amp;B882&amp;","&amp;D882&amp;")*"&amp;C882&amp;"^"&amp;D882&amp;"*(1-"&amp;C882&amp;")^("&amp;B882&amp;"-"&amp;D882&amp;")</f>
        <v/>
      </c>
      <c r="F882">
        <f>COMBIN(B882,D882)*C882^D882*(1-C882)^(B882-D882)</f>
        <v/>
      </c>
      <c r="G882">
        <f>G881+F882</f>
        <v/>
      </c>
    </row>
    <row r="883">
      <c r="A883" t="inlineStr">
        <is>
          <t>normal_medium_14</t>
        </is>
      </c>
      <c r="B883" t="n">
        <v>14</v>
      </c>
      <c r="C883" t="n">
        <v>0.72247932</v>
      </c>
      <c r="D883" t="n">
        <v>8</v>
      </c>
      <c r="E883">
        <f>"COMBIN("&amp;B883&amp;","&amp;D883&amp;")*"&amp;C883&amp;"^"&amp;D883&amp;"*(1-"&amp;C883&amp;")^("&amp;B883&amp;"-"&amp;D883&amp;")</f>
        <v/>
      </c>
      <c r="F883">
        <f>COMBIN(B883,D883)*C883^D883*(1-C883)^(B883-D883)</f>
        <v/>
      </c>
      <c r="G883">
        <f>G882+F883</f>
        <v/>
      </c>
    </row>
    <row r="884">
      <c r="A884" t="inlineStr">
        <is>
          <t>normal_medium_14</t>
        </is>
      </c>
      <c r="B884" t="n">
        <v>14</v>
      </c>
      <c r="C884" t="n">
        <v>0.72247932</v>
      </c>
      <c r="D884" t="n">
        <v>9</v>
      </c>
      <c r="E884">
        <f>"COMBIN("&amp;B884&amp;","&amp;D884&amp;")*"&amp;C884&amp;"^"&amp;D884&amp;"*(1-"&amp;C884&amp;")^("&amp;B884&amp;"-"&amp;D884&amp;")</f>
        <v/>
      </c>
      <c r="F884">
        <f>COMBIN(B884,D884)*C884^D884*(1-C884)^(B884-D884)</f>
        <v/>
      </c>
      <c r="G884">
        <f>G883+F884</f>
        <v/>
      </c>
    </row>
    <row r="885">
      <c r="A885" t="inlineStr">
        <is>
          <t>normal_medium_14</t>
        </is>
      </c>
      <c r="B885" t="n">
        <v>14</v>
      </c>
      <c r="C885" t="n">
        <v>0.72247932</v>
      </c>
      <c r="D885" t="n">
        <v>10</v>
      </c>
      <c r="E885">
        <f>"COMBIN("&amp;B885&amp;","&amp;D885&amp;")*"&amp;C885&amp;"^"&amp;D885&amp;"*(1-"&amp;C885&amp;")^("&amp;B885&amp;"-"&amp;D885&amp;")</f>
        <v/>
      </c>
      <c r="F885">
        <f>COMBIN(B885,D885)*C885^D885*(1-C885)^(B885-D885)</f>
        <v/>
      </c>
      <c r="G885">
        <f>G884+F885</f>
        <v/>
      </c>
    </row>
    <row r="886">
      <c r="A886" t="inlineStr">
        <is>
          <t>normal_medium_14</t>
        </is>
      </c>
      <c r="B886" t="n">
        <v>14</v>
      </c>
      <c r="C886" t="n">
        <v>0.72247932</v>
      </c>
      <c r="D886" t="n">
        <v>11</v>
      </c>
      <c r="E886">
        <f>"COMBIN("&amp;B886&amp;","&amp;D886&amp;")*"&amp;C886&amp;"^"&amp;D886&amp;"*(1-"&amp;C886&amp;")^("&amp;B886&amp;"-"&amp;D886&amp;")</f>
        <v/>
      </c>
      <c r="F886">
        <f>COMBIN(B886,D886)*C886^D886*(1-C886)^(B886-D886)</f>
        <v/>
      </c>
      <c r="G886">
        <f>G885+F886</f>
        <v/>
      </c>
    </row>
    <row r="887">
      <c r="A887" t="inlineStr">
        <is>
          <t>normal_medium_14</t>
        </is>
      </c>
      <c r="B887" t="n">
        <v>14</v>
      </c>
      <c r="C887" t="n">
        <v>0.72247932</v>
      </c>
      <c r="D887" t="n">
        <v>12</v>
      </c>
      <c r="E887">
        <f>"COMBIN("&amp;B887&amp;","&amp;D887&amp;")*"&amp;C887&amp;"^"&amp;D887&amp;"*(1-"&amp;C887&amp;")^("&amp;B887&amp;"-"&amp;D887&amp;")</f>
        <v/>
      </c>
      <c r="F887">
        <f>COMBIN(B887,D887)*C887^D887*(1-C887)^(B887-D887)</f>
        <v/>
      </c>
      <c r="G887">
        <f>G886+F887</f>
        <v/>
      </c>
    </row>
    <row r="888">
      <c r="A888" t="inlineStr">
        <is>
          <t>normal_medium_14</t>
        </is>
      </c>
      <c r="B888" t="n">
        <v>14</v>
      </c>
      <c r="C888" t="n">
        <v>0.72247932</v>
      </c>
      <c r="D888" t="n">
        <v>13</v>
      </c>
      <c r="E888">
        <f>"COMBIN("&amp;B888&amp;","&amp;D888&amp;")*"&amp;C888&amp;"^"&amp;D888&amp;"*(1-"&amp;C888&amp;")^("&amp;B888&amp;"-"&amp;D888&amp;")</f>
        <v/>
      </c>
      <c r="F888">
        <f>COMBIN(B888,D888)*C888^D888*(1-C888)^(B888-D888)</f>
        <v/>
      </c>
      <c r="G888">
        <f>G887+F888</f>
        <v/>
      </c>
    </row>
    <row r="889">
      <c r="A889" t="inlineStr">
        <is>
          <t>normal_medium_14</t>
        </is>
      </c>
      <c r="B889" t="n">
        <v>14</v>
      </c>
      <c r="C889" t="n">
        <v>0.72247932</v>
      </c>
      <c r="D889" t="n">
        <v>14</v>
      </c>
      <c r="E889">
        <f>"COMBIN("&amp;B889&amp;","&amp;D889&amp;")*"&amp;C889&amp;"^"&amp;D889&amp;"*(1-"&amp;C889&amp;")^("&amp;B889&amp;"-"&amp;D889&amp;")</f>
        <v/>
      </c>
      <c r="F889">
        <f>COMBIN(B889,D889)*C889^D889*(1-C889)^(B889-D889)</f>
        <v/>
      </c>
      <c r="G889">
        <f>G888+F889</f>
        <v/>
      </c>
    </row>
    <row r="890">
      <c r="A890" t="inlineStr">
        <is>
          <t>normal_medium_15</t>
        </is>
      </c>
      <c r="B890" t="n">
        <v>15</v>
      </c>
      <c r="C890" t="n">
        <v>0.69302792</v>
      </c>
      <c r="D890" t="n">
        <v>0</v>
      </c>
      <c r="E890">
        <f>"COMBIN("&amp;B890&amp;","&amp;D890&amp;")*"&amp;C890&amp;"^"&amp;D890&amp;"*(1-"&amp;C890&amp;")^("&amp;B890&amp;"-"&amp;D890&amp;")</f>
        <v/>
      </c>
      <c r="F890">
        <f>COMBIN(B890,D890)*C890^D890*(1-C890)^(B890-D890)</f>
        <v/>
      </c>
      <c r="G890">
        <f>F890</f>
        <v/>
      </c>
      <c r="H890">
        <f>SUM(F890:F905)</f>
        <v/>
      </c>
    </row>
    <row r="891">
      <c r="A891" t="inlineStr">
        <is>
          <t>normal_medium_15</t>
        </is>
      </c>
      <c r="B891" t="n">
        <v>15</v>
      </c>
      <c r="C891" t="n">
        <v>0.69302792</v>
      </c>
      <c r="D891" t="n">
        <v>1</v>
      </c>
      <c r="E891">
        <f>"COMBIN("&amp;B891&amp;","&amp;D891&amp;")*"&amp;C891&amp;"^"&amp;D891&amp;"*(1-"&amp;C891&amp;")^("&amp;B891&amp;"-"&amp;D891&amp;")</f>
        <v/>
      </c>
      <c r="F891">
        <f>COMBIN(B891,D891)*C891^D891*(1-C891)^(B891-D891)</f>
        <v/>
      </c>
      <c r="G891">
        <f>G890+F891</f>
        <v/>
      </c>
    </row>
    <row r="892">
      <c r="A892" t="inlineStr">
        <is>
          <t>normal_medium_15</t>
        </is>
      </c>
      <c r="B892" t="n">
        <v>15</v>
      </c>
      <c r="C892" t="n">
        <v>0.69302792</v>
      </c>
      <c r="D892" t="n">
        <v>2</v>
      </c>
      <c r="E892">
        <f>"COMBIN("&amp;B892&amp;","&amp;D892&amp;")*"&amp;C892&amp;"^"&amp;D892&amp;"*(1-"&amp;C892&amp;")^("&amp;B892&amp;"-"&amp;D892&amp;")</f>
        <v/>
      </c>
      <c r="F892">
        <f>COMBIN(B892,D892)*C892^D892*(1-C892)^(B892-D892)</f>
        <v/>
      </c>
      <c r="G892">
        <f>G891+F892</f>
        <v/>
      </c>
    </row>
    <row r="893">
      <c r="A893" t="inlineStr">
        <is>
          <t>normal_medium_15</t>
        </is>
      </c>
      <c r="B893" t="n">
        <v>15</v>
      </c>
      <c r="C893" t="n">
        <v>0.69302792</v>
      </c>
      <c r="D893" t="n">
        <v>3</v>
      </c>
      <c r="E893">
        <f>"COMBIN("&amp;B893&amp;","&amp;D893&amp;")*"&amp;C893&amp;"^"&amp;D893&amp;"*(1-"&amp;C893&amp;")^("&amp;B893&amp;"-"&amp;D893&amp;")</f>
        <v/>
      </c>
      <c r="F893">
        <f>COMBIN(B893,D893)*C893^D893*(1-C893)^(B893-D893)</f>
        <v/>
      </c>
      <c r="G893">
        <f>G892+F893</f>
        <v/>
      </c>
    </row>
    <row r="894">
      <c r="A894" t="inlineStr">
        <is>
          <t>normal_medium_15</t>
        </is>
      </c>
      <c r="B894" t="n">
        <v>15</v>
      </c>
      <c r="C894" t="n">
        <v>0.69302792</v>
      </c>
      <c r="D894" t="n">
        <v>4</v>
      </c>
      <c r="E894">
        <f>"COMBIN("&amp;B894&amp;","&amp;D894&amp;")*"&amp;C894&amp;"^"&amp;D894&amp;"*(1-"&amp;C894&amp;")^("&amp;B894&amp;"-"&amp;D894&amp;")</f>
        <v/>
      </c>
      <c r="F894">
        <f>COMBIN(B894,D894)*C894^D894*(1-C894)^(B894-D894)</f>
        <v/>
      </c>
      <c r="G894">
        <f>G893+F894</f>
        <v/>
      </c>
    </row>
    <row r="895">
      <c r="A895" t="inlineStr">
        <is>
          <t>normal_medium_15</t>
        </is>
      </c>
      <c r="B895" t="n">
        <v>15</v>
      </c>
      <c r="C895" t="n">
        <v>0.69302792</v>
      </c>
      <c r="D895" t="n">
        <v>5</v>
      </c>
      <c r="E895">
        <f>"COMBIN("&amp;B895&amp;","&amp;D895&amp;")*"&amp;C895&amp;"^"&amp;D895&amp;"*(1-"&amp;C895&amp;")^("&amp;B895&amp;"-"&amp;D895&amp;")</f>
        <v/>
      </c>
      <c r="F895">
        <f>COMBIN(B895,D895)*C895^D895*(1-C895)^(B895-D895)</f>
        <v/>
      </c>
      <c r="G895">
        <f>G894+F895</f>
        <v/>
      </c>
    </row>
    <row r="896">
      <c r="A896" t="inlineStr">
        <is>
          <t>normal_medium_15</t>
        </is>
      </c>
      <c r="B896" t="n">
        <v>15</v>
      </c>
      <c r="C896" t="n">
        <v>0.69302792</v>
      </c>
      <c r="D896" t="n">
        <v>6</v>
      </c>
      <c r="E896">
        <f>"COMBIN("&amp;B896&amp;","&amp;D896&amp;")*"&amp;C896&amp;"^"&amp;D896&amp;"*(1-"&amp;C896&amp;")^("&amp;B896&amp;"-"&amp;D896&amp;")</f>
        <v/>
      </c>
      <c r="F896">
        <f>COMBIN(B896,D896)*C896^D896*(1-C896)^(B896-D896)</f>
        <v/>
      </c>
      <c r="G896">
        <f>G895+F896</f>
        <v/>
      </c>
    </row>
    <row r="897">
      <c r="A897" t="inlineStr">
        <is>
          <t>normal_medium_15</t>
        </is>
      </c>
      <c r="B897" t="n">
        <v>15</v>
      </c>
      <c r="C897" t="n">
        <v>0.69302792</v>
      </c>
      <c r="D897" t="n">
        <v>7</v>
      </c>
      <c r="E897">
        <f>"COMBIN("&amp;B897&amp;","&amp;D897&amp;")*"&amp;C897&amp;"^"&amp;D897&amp;"*(1-"&amp;C897&amp;")^("&amp;B897&amp;"-"&amp;D897&amp;")</f>
        <v/>
      </c>
      <c r="F897">
        <f>COMBIN(B897,D897)*C897^D897*(1-C897)^(B897-D897)</f>
        <v/>
      </c>
      <c r="G897">
        <f>G896+F897</f>
        <v/>
      </c>
    </row>
    <row r="898">
      <c r="A898" t="inlineStr">
        <is>
          <t>normal_medium_15</t>
        </is>
      </c>
      <c r="B898" t="n">
        <v>15</v>
      </c>
      <c r="C898" t="n">
        <v>0.69302792</v>
      </c>
      <c r="D898" t="n">
        <v>8</v>
      </c>
      <c r="E898">
        <f>"COMBIN("&amp;B898&amp;","&amp;D898&amp;")*"&amp;C898&amp;"^"&amp;D898&amp;"*(1-"&amp;C898&amp;")^("&amp;B898&amp;"-"&amp;D898&amp;")</f>
        <v/>
      </c>
      <c r="F898">
        <f>COMBIN(B898,D898)*C898^D898*(1-C898)^(B898-D898)</f>
        <v/>
      </c>
      <c r="G898">
        <f>G897+F898</f>
        <v/>
      </c>
    </row>
    <row r="899">
      <c r="A899" t="inlineStr">
        <is>
          <t>normal_medium_15</t>
        </is>
      </c>
      <c r="B899" t="n">
        <v>15</v>
      </c>
      <c r="C899" t="n">
        <v>0.69302792</v>
      </c>
      <c r="D899" t="n">
        <v>9</v>
      </c>
      <c r="E899">
        <f>"COMBIN("&amp;B899&amp;","&amp;D899&amp;")*"&amp;C899&amp;"^"&amp;D899&amp;"*(1-"&amp;C899&amp;")^("&amp;B899&amp;"-"&amp;D899&amp;")</f>
        <v/>
      </c>
      <c r="F899">
        <f>COMBIN(B899,D899)*C899^D899*(1-C899)^(B899-D899)</f>
        <v/>
      </c>
      <c r="G899">
        <f>G898+F899</f>
        <v/>
      </c>
    </row>
    <row r="900">
      <c r="A900" t="inlineStr">
        <is>
          <t>normal_medium_15</t>
        </is>
      </c>
      <c r="B900" t="n">
        <v>15</v>
      </c>
      <c r="C900" t="n">
        <v>0.69302792</v>
      </c>
      <c r="D900" t="n">
        <v>10</v>
      </c>
      <c r="E900">
        <f>"COMBIN("&amp;B900&amp;","&amp;D900&amp;")*"&amp;C900&amp;"^"&amp;D900&amp;"*(1-"&amp;C900&amp;")^("&amp;B900&amp;"-"&amp;D900&amp;")</f>
        <v/>
      </c>
      <c r="F900">
        <f>COMBIN(B900,D900)*C900^D900*(1-C900)^(B900-D900)</f>
        <v/>
      </c>
      <c r="G900">
        <f>G899+F900</f>
        <v/>
      </c>
    </row>
    <row r="901">
      <c r="A901" t="inlineStr">
        <is>
          <t>normal_medium_15</t>
        </is>
      </c>
      <c r="B901" t="n">
        <v>15</v>
      </c>
      <c r="C901" t="n">
        <v>0.69302792</v>
      </c>
      <c r="D901" t="n">
        <v>11</v>
      </c>
      <c r="E901">
        <f>"COMBIN("&amp;B901&amp;","&amp;D901&amp;")*"&amp;C901&amp;"^"&amp;D901&amp;"*(1-"&amp;C901&amp;")^("&amp;B901&amp;"-"&amp;D901&amp;")</f>
        <v/>
      </c>
      <c r="F901">
        <f>COMBIN(B901,D901)*C901^D901*(1-C901)^(B901-D901)</f>
        <v/>
      </c>
      <c r="G901">
        <f>G900+F901</f>
        <v/>
      </c>
    </row>
    <row r="902">
      <c r="A902" t="inlineStr">
        <is>
          <t>normal_medium_15</t>
        </is>
      </c>
      <c r="B902" t="n">
        <v>15</v>
      </c>
      <c r="C902" t="n">
        <v>0.69302792</v>
      </c>
      <c r="D902" t="n">
        <v>12</v>
      </c>
      <c r="E902">
        <f>"COMBIN("&amp;B902&amp;","&amp;D902&amp;")*"&amp;C902&amp;"^"&amp;D902&amp;"*(1-"&amp;C902&amp;")^("&amp;B902&amp;"-"&amp;D902&amp;")</f>
        <v/>
      </c>
      <c r="F902">
        <f>COMBIN(B902,D902)*C902^D902*(1-C902)^(B902-D902)</f>
        <v/>
      </c>
      <c r="G902">
        <f>G901+F902</f>
        <v/>
      </c>
    </row>
    <row r="903">
      <c r="A903" t="inlineStr">
        <is>
          <t>normal_medium_15</t>
        </is>
      </c>
      <c r="B903" t="n">
        <v>15</v>
      </c>
      <c r="C903" t="n">
        <v>0.69302792</v>
      </c>
      <c r="D903" t="n">
        <v>13</v>
      </c>
      <c r="E903">
        <f>"COMBIN("&amp;B903&amp;","&amp;D903&amp;")*"&amp;C903&amp;"^"&amp;D903&amp;"*(1-"&amp;C903&amp;")^("&amp;B903&amp;"-"&amp;D903&amp;")</f>
        <v/>
      </c>
      <c r="F903">
        <f>COMBIN(B903,D903)*C903^D903*(1-C903)^(B903-D903)</f>
        <v/>
      </c>
      <c r="G903">
        <f>G902+F903</f>
        <v/>
      </c>
    </row>
    <row r="904">
      <c r="A904" t="inlineStr">
        <is>
          <t>normal_medium_15</t>
        </is>
      </c>
      <c r="B904" t="n">
        <v>15</v>
      </c>
      <c r="C904" t="n">
        <v>0.69302792</v>
      </c>
      <c r="D904" t="n">
        <v>14</v>
      </c>
      <c r="E904">
        <f>"COMBIN("&amp;B904&amp;","&amp;D904&amp;")*"&amp;C904&amp;"^"&amp;D904&amp;"*(1-"&amp;C904&amp;")^("&amp;B904&amp;"-"&amp;D904&amp;")</f>
        <v/>
      </c>
      <c r="F904">
        <f>COMBIN(B904,D904)*C904^D904*(1-C904)^(B904-D904)</f>
        <v/>
      </c>
      <c r="G904">
        <f>G903+F904</f>
        <v/>
      </c>
    </row>
    <row r="905">
      <c r="A905" t="inlineStr">
        <is>
          <t>normal_medium_15</t>
        </is>
      </c>
      <c r="B905" t="n">
        <v>15</v>
      </c>
      <c r="C905" t="n">
        <v>0.69302792</v>
      </c>
      <c r="D905" t="n">
        <v>15</v>
      </c>
      <c r="E905">
        <f>"COMBIN("&amp;B905&amp;","&amp;D905&amp;")*"&amp;C905&amp;"^"&amp;D905&amp;"*(1-"&amp;C905&amp;")^("&amp;B905&amp;"-"&amp;D905&amp;")</f>
        <v/>
      </c>
      <c r="F905">
        <f>COMBIN(B905,D905)*C905^D905*(1-C905)^(B905-D905)</f>
        <v/>
      </c>
      <c r="G905">
        <f>G904+F905</f>
        <v/>
      </c>
    </row>
    <row r="906">
      <c r="A906" t="inlineStr">
        <is>
          <t>normal_medium_16</t>
        </is>
      </c>
      <c r="B906" t="n">
        <v>16</v>
      </c>
      <c r="C906" t="n">
        <v>0.68558416</v>
      </c>
      <c r="D906" t="n">
        <v>0</v>
      </c>
      <c r="E906">
        <f>"COMBIN("&amp;B906&amp;","&amp;D906&amp;")*"&amp;C906&amp;"^"&amp;D906&amp;"*(1-"&amp;C906&amp;")^("&amp;B906&amp;"-"&amp;D906&amp;")</f>
        <v/>
      </c>
      <c r="F906">
        <f>COMBIN(B906,D906)*C906^D906*(1-C906)^(B906-D906)</f>
        <v/>
      </c>
      <c r="G906">
        <f>F906</f>
        <v/>
      </c>
      <c r="H906">
        <f>SUM(F906:F922)</f>
        <v/>
      </c>
    </row>
    <row r="907">
      <c r="A907" t="inlineStr">
        <is>
          <t>normal_medium_16</t>
        </is>
      </c>
      <c r="B907" t="n">
        <v>16</v>
      </c>
      <c r="C907" t="n">
        <v>0.68558416</v>
      </c>
      <c r="D907" t="n">
        <v>1</v>
      </c>
      <c r="E907">
        <f>"COMBIN("&amp;B907&amp;","&amp;D907&amp;")*"&amp;C907&amp;"^"&amp;D907&amp;"*(1-"&amp;C907&amp;")^("&amp;B907&amp;"-"&amp;D907&amp;")</f>
        <v/>
      </c>
      <c r="F907">
        <f>COMBIN(B907,D907)*C907^D907*(1-C907)^(B907-D907)</f>
        <v/>
      </c>
      <c r="G907">
        <f>G906+F907</f>
        <v/>
      </c>
    </row>
    <row r="908">
      <c r="A908" t="inlineStr">
        <is>
          <t>normal_medium_16</t>
        </is>
      </c>
      <c r="B908" t="n">
        <v>16</v>
      </c>
      <c r="C908" t="n">
        <v>0.68558416</v>
      </c>
      <c r="D908" t="n">
        <v>2</v>
      </c>
      <c r="E908">
        <f>"COMBIN("&amp;B908&amp;","&amp;D908&amp;")*"&amp;C908&amp;"^"&amp;D908&amp;"*(1-"&amp;C908&amp;")^("&amp;B908&amp;"-"&amp;D908&amp;")</f>
        <v/>
      </c>
      <c r="F908">
        <f>COMBIN(B908,D908)*C908^D908*(1-C908)^(B908-D908)</f>
        <v/>
      </c>
      <c r="G908">
        <f>G907+F908</f>
        <v/>
      </c>
    </row>
    <row r="909">
      <c r="A909" t="inlineStr">
        <is>
          <t>normal_medium_16</t>
        </is>
      </c>
      <c r="B909" t="n">
        <v>16</v>
      </c>
      <c r="C909" t="n">
        <v>0.68558416</v>
      </c>
      <c r="D909" t="n">
        <v>3</v>
      </c>
      <c r="E909">
        <f>"COMBIN("&amp;B909&amp;","&amp;D909&amp;")*"&amp;C909&amp;"^"&amp;D909&amp;"*(1-"&amp;C909&amp;")^("&amp;B909&amp;"-"&amp;D909&amp;")</f>
        <v/>
      </c>
      <c r="F909">
        <f>COMBIN(B909,D909)*C909^D909*(1-C909)^(B909-D909)</f>
        <v/>
      </c>
      <c r="G909">
        <f>G908+F909</f>
        <v/>
      </c>
    </row>
    <row r="910">
      <c r="A910" t="inlineStr">
        <is>
          <t>normal_medium_16</t>
        </is>
      </c>
      <c r="B910" t="n">
        <v>16</v>
      </c>
      <c r="C910" t="n">
        <v>0.68558416</v>
      </c>
      <c r="D910" t="n">
        <v>4</v>
      </c>
      <c r="E910">
        <f>"COMBIN("&amp;B910&amp;","&amp;D910&amp;")*"&amp;C910&amp;"^"&amp;D910&amp;"*(1-"&amp;C910&amp;")^("&amp;B910&amp;"-"&amp;D910&amp;")</f>
        <v/>
      </c>
      <c r="F910">
        <f>COMBIN(B910,D910)*C910^D910*(1-C910)^(B910-D910)</f>
        <v/>
      </c>
      <c r="G910">
        <f>G909+F910</f>
        <v/>
      </c>
    </row>
    <row r="911">
      <c r="A911" t="inlineStr">
        <is>
          <t>normal_medium_16</t>
        </is>
      </c>
      <c r="B911" t="n">
        <v>16</v>
      </c>
      <c r="C911" t="n">
        <v>0.68558416</v>
      </c>
      <c r="D911" t="n">
        <v>5</v>
      </c>
      <c r="E911">
        <f>"COMBIN("&amp;B911&amp;","&amp;D911&amp;")*"&amp;C911&amp;"^"&amp;D911&amp;"*(1-"&amp;C911&amp;")^("&amp;B911&amp;"-"&amp;D911&amp;")</f>
        <v/>
      </c>
      <c r="F911">
        <f>COMBIN(B911,D911)*C911^D911*(1-C911)^(B911-D911)</f>
        <v/>
      </c>
      <c r="G911">
        <f>G910+F911</f>
        <v/>
      </c>
    </row>
    <row r="912">
      <c r="A912" t="inlineStr">
        <is>
          <t>normal_medium_16</t>
        </is>
      </c>
      <c r="B912" t="n">
        <v>16</v>
      </c>
      <c r="C912" t="n">
        <v>0.68558416</v>
      </c>
      <c r="D912" t="n">
        <v>6</v>
      </c>
      <c r="E912">
        <f>"COMBIN("&amp;B912&amp;","&amp;D912&amp;")*"&amp;C912&amp;"^"&amp;D912&amp;"*(1-"&amp;C912&amp;")^("&amp;B912&amp;"-"&amp;D912&amp;")</f>
        <v/>
      </c>
      <c r="F912">
        <f>COMBIN(B912,D912)*C912^D912*(1-C912)^(B912-D912)</f>
        <v/>
      </c>
      <c r="G912">
        <f>G911+F912</f>
        <v/>
      </c>
    </row>
    <row r="913">
      <c r="A913" t="inlineStr">
        <is>
          <t>normal_medium_16</t>
        </is>
      </c>
      <c r="B913" t="n">
        <v>16</v>
      </c>
      <c r="C913" t="n">
        <v>0.68558416</v>
      </c>
      <c r="D913" t="n">
        <v>7</v>
      </c>
      <c r="E913">
        <f>"COMBIN("&amp;B913&amp;","&amp;D913&amp;")*"&amp;C913&amp;"^"&amp;D913&amp;"*(1-"&amp;C913&amp;")^("&amp;B913&amp;"-"&amp;D913&amp;")</f>
        <v/>
      </c>
      <c r="F913">
        <f>COMBIN(B913,D913)*C913^D913*(1-C913)^(B913-D913)</f>
        <v/>
      </c>
      <c r="G913">
        <f>G912+F913</f>
        <v/>
      </c>
    </row>
    <row r="914">
      <c r="A914" t="inlineStr">
        <is>
          <t>normal_medium_16</t>
        </is>
      </c>
      <c r="B914" t="n">
        <v>16</v>
      </c>
      <c r="C914" t="n">
        <v>0.68558416</v>
      </c>
      <c r="D914" t="n">
        <v>8</v>
      </c>
      <c r="E914">
        <f>"COMBIN("&amp;B914&amp;","&amp;D914&amp;")*"&amp;C914&amp;"^"&amp;D914&amp;"*(1-"&amp;C914&amp;")^("&amp;B914&amp;"-"&amp;D914&amp;")</f>
        <v/>
      </c>
      <c r="F914">
        <f>COMBIN(B914,D914)*C914^D914*(1-C914)^(B914-D914)</f>
        <v/>
      </c>
      <c r="G914">
        <f>G913+F914</f>
        <v/>
      </c>
    </row>
    <row r="915">
      <c r="A915" t="inlineStr">
        <is>
          <t>normal_medium_16</t>
        </is>
      </c>
      <c r="B915" t="n">
        <v>16</v>
      </c>
      <c r="C915" t="n">
        <v>0.68558416</v>
      </c>
      <c r="D915" t="n">
        <v>9</v>
      </c>
      <c r="E915">
        <f>"COMBIN("&amp;B915&amp;","&amp;D915&amp;")*"&amp;C915&amp;"^"&amp;D915&amp;"*(1-"&amp;C915&amp;")^("&amp;B915&amp;"-"&amp;D915&amp;")</f>
        <v/>
      </c>
      <c r="F915">
        <f>COMBIN(B915,D915)*C915^D915*(1-C915)^(B915-D915)</f>
        <v/>
      </c>
      <c r="G915">
        <f>G914+F915</f>
        <v/>
      </c>
    </row>
    <row r="916">
      <c r="A916" t="inlineStr">
        <is>
          <t>normal_medium_16</t>
        </is>
      </c>
      <c r="B916" t="n">
        <v>16</v>
      </c>
      <c r="C916" t="n">
        <v>0.68558416</v>
      </c>
      <c r="D916" t="n">
        <v>10</v>
      </c>
      <c r="E916">
        <f>"COMBIN("&amp;B916&amp;","&amp;D916&amp;")*"&amp;C916&amp;"^"&amp;D916&amp;"*(1-"&amp;C916&amp;")^("&amp;B916&amp;"-"&amp;D916&amp;")</f>
        <v/>
      </c>
      <c r="F916">
        <f>COMBIN(B916,D916)*C916^D916*(1-C916)^(B916-D916)</f>
        <v/>
      </c>
      <c r="G916">
        <f>G915+F916</f>
        <v/>
      </c>
    </row>
    <row r="917">
      <c r="A917" t="inlineStr">
        <is>
          <t>normal_medium_16</t>
        </is>
      </c>
      <c r="B917" t="n">
        <v>16</v>
      </c>
      <c r="C917" t="n">
        <v>0.68558416</v>
      </c>
      <c r="D917" t="n">
        <v>11</v>
      </c>
      <c r="E917">
        <f>"COMBIN("&amp;B917&amp;","&amp;D917&amp;")*"&amp;C917&amp;"^"&amp;D917&amp;"*(1-"&amp;C917&amp;")^("&amp;B917&amp;"-"&amp;D917&amp;")</f>
        <v/>
      </c>
      <c r="F917">
        <f>COMBIN(B917,D917)*C917^D917*(1-C917)^(B917-D917)</f>
        <v/>
      </c>
      <c r="G917">
        <f>G916+F917</f>
        <v/>
      </c>
    </row>
    <row r="918">
      <c r="A918" t="inlineStr">
        <is>
          <t>normal_medium_16</t>
        </is>
      </c>
      <c r="B918" t="n">
        <v>16</v>
      </c>
      <c r="C918" t="n">
        <v>0.68558416</v>
      </c>
      <c r="D918" t="n">
        <v>12</v>
      </c>
      <c r="E918">
        <f>"COMBIN("&amp;B918&amp;","&amp;D918&amp;")*"&amp;C918&amp;"^"&amp;D918&amp;"*(1-"&amp;C918&amp;")^("&amp;B918&amp;"-"&amp;D918&amp;")</f>
        <v/>
      </c>
      <c r="F918">
        <f>COMBIN(B918,D918)*C918^D918*(1-C918)^(B918-D918)</f>
        <v/>
      </c>
      <c r="G918">
        <f>G917+F918</f>
        <v/>
      </c>
    </row>
    <row r="919">
      <c r="A919" t="inlineStr">
        <is>
          <t>normal_medium_16</t>
        </is>
      </c>
      <c r="B919" t="n">
        <v>16</v>
      </c>
      <c r="C919" t="n">
        <v>0.68558416</v>
      </c>
      <c r="D919" t="n">
        <v>13</v>
      </c>
      <c r="E919">
        <f>"COMBIN("&amp;B919&amp;","&amp;D919&amp;")*"&amp;C919&amp;"^"&amp;D919&amp;"*(1-"&amp;C919&amp;")^("&amp;B919&amp;"-"&amp;D919&amp;")</f>
        <v/>
      </c>
      <c r="F919">
        <f>COMBIN(B919,D919)*C919^D919*(1-C919)^(B919-D919)</f>
        <v/>
      </c>
      <c r="G919">
        <f>G918+F919</f>
        <v/>
      </c>
    </row>
    <row r="920">
      <c r="A920" t="inlineStr">
        <is>
          <t>normal_medium_16</t>
        </is>
      </c>
      <c r="B920" t="n">
        <v>16</v>
      </c>
      <c r="C920" t="n">
        <v>0.68558416</v>
      </c>
      <c r="D920" t="n">
        <v>14</v>
      </c>
      <c r="E920">
        <f>"COMBIN("&amp;B920&amp;","&amp;D920&amp;")*"&amp;C920&amp;"^"&amp;D920&amp;"*(1-"&amp;C920&amp;")^("&amp;B920&amp;"-"&amp;D920&amp;")</f>
        <v/>
      </c>
      <c r="F920">
        <f>COMBIN(B920,D920)*C920^D920*(1-C920)^(B920-D920)</f>
        <v/>
      </c>
      <c r="G920">
        <f>G919+F920</f>
        <v/>
      </c>
    </row>
    <row r="921">
      <c r="A921" t="inlineStr">
        <is>
          <t>normal_medium_16</t>
        </is>
      </c>
      <c r="B921" t="n">
        <v>16</v>
      </c>
      <c r="C921" t="n">
        <v>0.68558416</v>
      </c>
      <c r="D921" t="n">
        <v>15</v>
      </c>
      <c r="E921">
        <f>"COMBIN("&amp;B921&amp;","&amp;D921&amp;")*"&amp;C921&amp;"^"&amp;D921&amp;"*(1-"&amp;C921&amp;")^("&amp;B921&amp;"-"&amp;D921&amp;")</f>
        <v/>
      </c>
      <c r="F921">
        <f>COMBIN(B921,D921)*C921^D921*(1-C921)^(B921-D921)</f>
        <v/>
      </c>
      <c r="G921">
        <f>G920+F921</f>
        <v/>
      </c>
    </row>
    <row r="922">
      <c r="A922" t="inlineStr">
        <is>
          <t>normal_medium_16</t>
        </is>
      </c>
      <c r="B922" t="n">
        <v>16</v>
      </c>
      <c r="C922" t="n">
        <v>0.68558416</v>
      </c>
      <c r="D922" t="n">
        <v>16</v>
      </c>
      <c r="E922">
        <f>"COMBIN("&amp;B922&amp;","&amp;D922&amp;")*"&amp;C922&amp;"^"&amp;D922&amp;"*(1-"&amp;C922&amp;")^("&amp;B922&amp;"-"&amp;D922&amp;")</f>
        <v/>
      </c>
      <c r="F922">
        <f>COMBIN(B922,D922)*C922^D922*(1-C922)^(B922-D922)</f>
        <v/>
      </c>
      <c r="G922">
        <f>G921+F922</f>
        <v/>
      </c>
    </row>
    <row r="923">
      <c r="A923" t="inlineStr">
        <is>
          <t>normal_medium_8</t>
        </is>
      </c>
      <c r="B923" t="n">
        <v>8</v>
      </c>
      <c r="C923" t="n">
        <v>0.71329448</v>
      </c>
      <c r="D923" t="n">
        <v>0</v>
      </c>
      <c r="E923">
        <f>"COMBIN("&amp;B923&amp;","&amp;D923&amp;")*"&amp;C923&amp;"^"&amp;D923&amp;"*(1-"&amp;C923&amp;")^("&amp;B923&amp;"-"&amp;D923&amp;")</f>
        <v/>
      </c>
      <c r="F923">
        <f>COMBIN(B923,D923)*C923^D923*(1-C923)^(B923-D923)</f>
        <v/>
      </c>
      <c r="G923">
        <f>F923</f>
        <v/>
      </c>
      <c r="H923">
        <f>SUM(F923:F931)</f>
        <v/>
      </c>
    </row>
    <row r="924">
      <c r="A924" t="inlineStr">
        <is>
          <t>normal_medium_8</t>
        </is>
      </c>
      <c r="B924" t="n">
        <v>8</v>
      </c>
      <c r="C924" t="n">
        <v>0.71329448</v>
      </c>
      <c r="D924" t="n">
        <v>1</v>
      </c>
      <c r="E924">
        <f>"COMBIN("&amp;B924&amp;","&amp;D924&amp;")*"&amp;C924&amp;"^"&amp;D924&amp;"*(1-"&amp;C924&amp;")^("&amp;B924&amp;"-"&amp;D924&amp;")</f>
        <v/>
      </c>
      <c r="F924">
        <f>COMBIN(B924,D924)*C924^D924*(1-C924)^(B924-D924)</f>
        <v/>
      </c>
      <c r="G924">
        <f>G923+F924</f>
        <v/>
      </c>
    </row>
    <row r="925">
      <c r="A925" t="inlineStr">
        <is>
          <t>normal_medium_8</t>
        </is>
      </c>
      <c r="B925" t="n">
        <v>8</v>
      </c>
      <c r="C925" t="n">
        <v>0.71329448</v>
      </c>
      <c r="D925" t="n">
        <v>2</v>
      </c>
      <c r="E925">
        <f>"COMBIN("&amp;B925&amp;","&amp;D925&amp;")*"&amp;C925&amp;"^"&amp;D925&amp;"*(1-"&amp;C925&amp;")^("&amp;B925&amp;"-"&amp;D925&amp;")</f>
        <v/>
      </c>
      <c r="F925">
        <f>COMBIN(B925,D925)*C925^D925*(1-C925)^(B925-D925)</f>
        <v/>
      </c>
      <c r="G925">
        <f>G924+F925</f>
        <v/>
      </c>
    </row>
    <row r="926">
      <c r="A926" t="inlineStr">
        <is>
          <t>normal_medium_8</t>
        </is>
      </c>
      <c r="B926" t="n">
        <v>8</v>
      </c>
      <c r="C926" t="n">
        <v>0.71329448</v>
      </c>
      <c r="D926" t="n">
        <v>3</v>
      </c>
      <c r="E926">
        <f>"COMBIN("&amp;B926&amp;","&amp;D926&amp;")*"&amp;C926&amp;"^"&amp;D926&amp;"*(1-"&amp;C926&amp;")^("&amp;B926&amp;"-"&amp;D926&amp;")</f>
        <v/>
      </c>
      <c r="F926">
        <f>COMBIN(B926,D926)*C926^D926*(1-C926)^(B926-D926)</f>
        <v/>
      </c>
      <c r="G926">
        <f>G925+F926</f>
        <v/>
      </c>
    </row>
    <row r="927">
      <c r="A927" t="inlineStr">
        <is>
          <t>normal_medium_8</t>
        </is>
      </c>
      <c r="B927" t="n">
        <v>8</v>
      </c>
      <c r="C927" t="n">
        <v>0.71329448</v>
      </c>
      <c r="D927" t="n">
        <v>4</v>
      </c>
      <c r="E927">
        <f>"COMBIN("&amp;B927&amp;","&amp;D927&amp;")*"&amp;C927&amp;"^"&amp;D927&amp;"*(1-"&amp;C927&amp;")^("&amp;B927&amp;"-"&amp;D927&amp;")</f>
        <v/>
      </c>
      <c r="F927">
        <f>COMBIN(B927,D927)*C927^D927*(1-C927)^(B927-D927)</f>
        <v/>
      </c>
      <c r="G927">
        <f>G926+F927</f>
        <v/>
      </c>
    </row>
    <row r="928">
      <c r="A928" t="inlineStr">
        <is>
          <t>normal_medium_8</t>
        </is>
      </c>
      <c r="B928" t="n">
        <v>8</v>
      </c>
      <c r="C928" t="n">
        <v>0.71329448</v>
      </c>
      <c r="D928" t="n">
        <v>5</v>
      </c>
      <c r="E928">
        <f>"COMBIN("&amp;B928&amp;","&amp;D928&amp;")*"&amp;C928&amp;"^"&amp;D928&amp;"*(1-"&amp;C928&amp;")^("&amp;B928&amp;"-"&amp;D928&amp;")</f>
        <v/>
      </c>
      <c r="F928">
        <f>COMBIN(B928,D928)*C928^D928*(1-C928)^(B928-D928)</f>
        <v/>
      </c>
      <c r="G928">
        <f>G927+F928</f>
        <v/>
      </c>
    </row>
    <row r="929">
      <c r="A929" t="inlineStr">
        <is>
          <t>normal_medium_8</t>
        </is>
      </c>
      <c r="B929" t="n">
        <v>8</v>
      </c>
      <c r="C929" t="n">
        <v>0.71329448</v>
      </c>
      <c r="D929" t="n">
        <v>6</v>
      </c>
      <c r="E929">
        <f>"COMBIN("&amp;B929&amp;","&amp;D929&amp;")*"&amp;C929&amp;"^"&amp;D929&amp;"*(1-"&amp;C929&amp;")^("&amp;B929&amp;"-"&amp;D929&amp;")</f>
        <v/>
      </c>
      <c r="F929">
        <f>COMBIN(B929,D929)*C929^D929*(1-C929)^(B929-D929)</f>
        <v/>
      </c>
      <c r="G929">
        <f>G928+F929</f>
        <v/>
      </c>
    </row>
    <row r="930">
      <c r="A930" t="inlineStr">
        <is>
          <t>normal_medium_8</t>
        </is>
      </c>
      <c r="B930" t="n">
        <v>8</v>
      </c>
      <c r="C930" t="n">
        <v>0.71329448</v>
      </c>
      <c r="D930" t="n">
        <v>7</v>
      </c>
      <c r="E930">
        <f>"COMBIN("&amp;B930&amp;","&amp;D930&amp;")*"&amp;C930&amp;"^"&amp;D930&amp;"*(1-"&amp;C930&amp;")^("&amp;B930&amp;"-"&amp;D930&amp;")</f>
        <v/>
      </c>
      <c r="F930">
        <f>COMBIN(B930,D930)*C930^D930*(1-C930)^(B930-D930)</f>
        <v/>
      </c>
      <c r="G930">
        <f>G929+F930</f>
        <v/>
      </c>
    </row>
    <row r="931">
      <c r="A931" t="inlineStr">
        <is>
          <t>normal_medium_8</t>
        </is>
      </c>
      <c r="B931" t="n">
        <v>8</v>
      </c>
      <c r="C931" t="n">
        <v>0.71329448</v>
      </c>
      <c r="D931" t="n">
        <v>8</v>
      </c>
      <c r="E931">
        <f>"COMBIN("&amp;B931&amp;","&amp;D931&amp;")*"&amp;C931&amp;"^"&amp;D931&amp;"*(1-"&amp;C931&amp;")^("&amp;B931&amp;"-"&amp;D931&amp;")</f>
        <v/>
      </c>
      <c r="F931">
        <f>COMBIN(B931,D931)*C931^D931*(1-C931)^(B931-D931)</f>
        <v/>
      </c>
      <c r="G931">
        <f>G930+F931</f>
        <v/>
      </c>
    </row>
    <row r="932">
      <c r="A932" t="inlineStr">
        <is>
          <t>normal_medium_9</t>
        </is>
      </c>
      <c r="B932" t="n">
        <v>9</v>
      </c>
      <c r="C932" t="n">
        <v>0.7141233299999999</v>
      </c>
      <c r="D932" t="n">
        <v>0</v>
      </c>
      <c r="E932">
        <f>"COMBIN("&amp;B932&amp;","&amp;D932&amp;")*"&amp;C932&amp;"^"&amp;D932&amp;"*(1-"&amp;C932&amp;")^("&amp;B932&amp;"-"&amp;D932&amp;")</f>
        <v/>
      </c>
      <c r="F932">
        <f>COMBIN(B932,D932)*C932^D932*(1-C932)^(B932-D932)</f>
        <v/>
      </c>
      <c r="G932">
        <f>F932</f>
        <v/>
      </c>
      <c r="H932">
        <f>SUM(F932:F941)</f>
        <v/>
      </c>
    </row>
    <row r="933">
      <c r="A933" t="inlineStr">
        <is>
          <t>normal_medium_9</t>
        </is>
      </c>
      <c r="B933" t="n">
        <v>9</v>
      </c>
      <c r="C933" t="n">
        <v>0.7141233299999999</v>
      </c>
      <c r="D933" t="n">
        <v>1</v>
      </c>
      <c r="E933">
        <f>"COMBIN("&amp;B933&amp;","&amp;D933&amp;")*"&amp;C933&amp;"^"&amp;D933&amp;"*(1-"&amp;C933&amp;")^("&amp;B933&amp;"-"&amp;D933&amp;")</f>
        <v/>
      </c>
      <c r="F933">
        <f>COMBIN(B933,D933)*C933^D933*(1-C933)^(B933-D933)</f>
        <v/>
      </c>
      <c r="G933">
        <f>G932+F933</f>
        <v/>
      </c>
    </row>
    <row r="934">
      <c r="A934" t="inlineStr">
        <is>
          <t>normal_medium_9</t>
        </is>
      </c>
      <c r="B934" t="n">
        <v>9</v>
      </c>
      <c r="C934" t="n">
        <v>0.7141233299999999</v>
      </c>
      <c r="D934" t="n">
        <v>2</v>
      </c>
      <c r="E934">
        <f>"COMBIN("&amp;B934&amp;","&amp;D934&amp;")*"&amp;C934&amp;"^"&amp;D934&amp;"*(1-"&amp;C934&amp;")^("&amp;B934&amp;"-"&amp;D934&amp;")</f>
        <v/>
      </c>
      <c r="F934">
        <f>COMBIN(B934,D934)*C934^D934*(1-C934)^(B934-D934)</f>
        <v/>
      </c>
      <c r="G934">
        <f>G933+F934</f>
        <v/>
      </c>
    </row>
    <row r="935">
      <c r="A935" t="inlineStr">
        <is>
          <t>normal_medium_9</t>
        </is>
      </c>
      <c r="B935" t="n">
        <v>9</v>
      </c>
      <c r="C935" t="n">
        <v>0.7141233299999999</v>
      </c>
      <c r="D935" t="n">
        <v>3</v>
      </c>
      <c r="E935">
        <f>"COMBIN("&amp;B935&amp;","&amp;D935&amp;")*"&amp;C935&amp;"^"&amp;D935&amp;"*(1-"&amp;C935&amp;")^("&amp;B935&amp;"-"&amp;D935&amp;")</f>
        <v/>
      </c>
      <c r="F935">
        <f>COMBIN(B935,D935)*C935^D935*(1-C935)^(B935-D935)</f>
        <v/>
      </c>
      <c r="G935">
        <f>G934+F935</f>
        <v/>
      </c>
    </row>
    <row r="936">
      <c r="A936" t="inlineStr">
        <is>
          <t>normal_medium_9</t>
        </is>
      </c>
      <c r="B936" t="n">
        <v>9</v>
      </c>
      <c r="C936" t="n">
        <v>0.7141233299999999</v>
      </c>
      <c r="D936" t="n">
        <v>4</v>
      </c>
      <c r="E936">
        <f>"COMBIN("&amp;B936&amp;","&amp;D936&amp;")*"&amp;C936&amp;"^"&amp;D936&amp;"*(1-"&amp;C936&amp;")^("&amp;B936&amp;"-"&amp;D936&amp;")</f>
        <v/>
      </c>
      <c r="F936">
        <f>COMBIN(B936,D936)*C936^D936*(1-C936)^(B936-D936)</f>
        <v/>
      </c>
      <c r="G936">
        <f>G935+F936</f>
        <v/>
      </c>
    </row>
    <row r="937">
      <c r="A937" t="inlineStr">
        <is>
          <t>normal_medium_9</t>
        </is>
      </c>
      <c r="B937" t="n">
        <v>9</v>
      </c>
      <c r="C937" t="n">
        <v>0.7141233299999999</v>
      </c>
      <c r="D937" t="n">
        <v>5</v>
      </c>
      <c r="E937">
        <f>"COMBIN("&amp;B937&amp;","&amp;D937&amp;")*"&amp;C937&amp;"^"&amp;D937&amp;"*(1-"&amp;C937&amp;")^("&amp;B937&amp;"-"&amp;D937&amp;")</f>
        <v/>
      </c>
      <c r="F937">
        <f>COMBIN(B937,D937)*C937^D937*(1-C937)^(B937-D937)</f>
        <v/>
      </c>
      <c r="G937">
        <f>G936+F937</f>
        <v/>
      </c>
    </row>
    <row r="938">
      <c r="A938" t="inlineStr">
        <is>
          <t>normal_medium_9</t>
        </is>
      </c>
      <c r="B938" t="n">
        <v>9</v>
      </c>
      <c r="C938" t="n">
        <v>0.7141233299999999</v>
      </c>
      <c r="D938" t="n">
        <v>6</v>
      </c>
      <c r="E938">
        <f>"COMBIN("&amp;B938&amp;","&amp;D938&amp;")*"&amp;C938&amp;"^"&amp;D938&amp;"*(1-"&amp;C938&amp;")^("&amp;B938&amp;"-"&amp;D938&amp;")</f>
        <v/>
      </c>
      <c r="F938">
        <f>COMBIN(B938,D938)*C938^D938*(1-C938)^(B938-D938)</f>
        <v/>
      </c>
      <c r="G938">
        <f>G937+F938</f>
        <v/>
      </c>
    </row>
    <row r="939">
      <c r="A939" t="inlineStr">
        <is>
          <t>normal_medium_9</t>
        </is>
      </c>
      <c r="B939" t="n">
        <v>9</v>
      </c>
      <c r="C939" t="n">
        <v>0.7141233299999999</v>
      </c>
      <c r="D939" t="n">
        <v>7</v>
      </c>
      <c r="E939">
        <f>"COMBIN("&amp;B939&amp;","&amp;D939&amp;")*"&amp;C939&amp;"^"&amp;D939&amp;"*(1-"&amp;C939&amp;")^("&amp;B939&amp;"-"&amp;D939&amp;")</f>
        <v/>
      </c>
      <c r="F939">
        <f>COMBIN(B939,D939)*C939^D939*(1-C939)^(B939-D939)</f>
        <v/>
      </c>
      <c r="G939">
        <f>G938+F939</f>
        <v/>
      </c>
    </row>
    <row r="940">
      <c r="A940" t="inlineStr">
        <is>
          <t>normal_medium_9</t>
        </is>
      </c>
      <c r="B940" t="n">
        <v>9</v>
      </c>
      <c r="C940" t="n">
        <v>0.7141233299999999</v>
      </c>
      <c r="D940" t="n">
        <v>8</v>
      </c>
      <c r="E940">
        <f>"COMBIN("&amp;B940&amp;","&amp;D940&amp;")*"&amp;C940&amp;"^"&amp;D940&amp;"*(1-"&amp;C940&amp;")^("&amp;B940&amp;"-"&amp;D940&amp;")</f>
        <v/>
      </c>
      <c r="F940">
        <f>COMBIN(B940,D940)*C940^D940*(1-C940)^(B940-D940)</f>
        <v/>
      </c>
      <c r="G940">
        <f>G939+F940</f>
        <v/>
      </c>
    </row>
    <row r="941">
      <c r="A941" t="inlineStr">
        <is>
          <t>normal_medium_9</t>
        </is>
      </c>
      <c r="B941" t="n">
        <v>9</v>
      </c>
      <c r="C941" t="n">
        <v>0.7141233299999999</v>
      </c>
      <c r="D941" t="n">
        <v>9</v>
      </c>
      <c r="E941">
        <f>"COMBIN("&amp;B941&amp;","&amp;D941&amp;")*"&amp;C941&amp;"^"&amp;D941&amp;"*(1-"&amp;C941&amp;")^("&amp;B941&amp;"-"&amp;D941&amp;")</f>
        <v/>
      </c>
      <c r="F941">
        <f>COMBIN(B941,D941)*C941^D941*(1-C941)^(B941-D941)</f>
        <v/>
      </c>
      <c r="G941">
        <f>G940+F941</f>
        <v/>
      </c>
    </row>
    <row r="943">
      <c r="A943" s="3" t="inlineStr">
        <is>
          <t>Vector Audit</t>
        </is>
      </c>
    </row>
    <row r="944">
      <c r="A944" s="4" t="inlineStr">
        <is>
          <t>Key</t>
        </is>
      </c>
      <c r="B944" s="4" t="inlineStr">
        <is>
          <t>Value</t>
        </is>
      </c>
    </row>
    <row r="945">
      <c r="A945" s="5" t="inlineStr">
        <is>
          <t>Rows in vector table</t>
        </is>
      </c>
      <c r="B945" s="5">
        <f>ROWS(A6:A941)</f>
        <v/>
      </c>
    </row>
    <row r="946">
      <c r="A946" s="5" t="inlineStr">
        <is>
          <t>Modes covered</t>
        </is>
      </c>
      <c r="B946" s="5">
        <f>SUMPRODUCT(--(A6:A941&lt;&gt;A5:A940))</f>
        <v/>
      </c>
    </row>
    <row r="947">
      <c r="A947" s="5" t="inlineStr">
        <is>
          <t>All mode sums = 1</t>
        </is>
      </c>
      <c r="B947" s="5">
        <f>COUNTIFS(G6:G941,"&gt;=0.999999999",G6:G941,"&lt;=1.000000001")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20" customWidth="1" min="4" max="4"/>
    <col width="16" customWidth="1" min="5" max="5"/>
    <col width="24" customWidth="1" min="6" max="6"/>
    <col width="14" customWidth="1" min="7" max="7"/>
    <col width="14" customWidth="1" min="8" max="8"/>
  </cols>
  <sheetData>
    <row r="1">
      <c r="A1" s="1" t="inlineStr">
        <is>
          <t>Test Vector List</t>
        </is>
      </c>
    </row>
    <row r="2">
      <c r="A2" s="2" t="inlineStr">
        <is>
          <t>Deterministic draw points and expected outcomes from lookup tables</t>
        </is>
      </c>
    </row>
    <row r="4">
      <c r="A4" s="3" t="inlineStr">
        <is>
          <t>Vectors</t>
        </is>
      </c>
    </row>
    <row r="5">
      <c r="A5" s="6" t="inlineStr">
        <is>
          <t>Mode</t>
        </is>
      </c>
      <c r="B5" s="6" t="inlineStr">
        <is>
          <t>Vector</t>
        </is>
      </c>
      <c r="C5" s="6" t="inlineStr">
        <is>
          <t>Draw</t>
        </is>
      </c>
      <c r="D5" s="6" t="inlineStr">
        <is>
          <t>Expected Outcome ID</t>
        </is>
      </c>
      <c r="E5" s="6" t="inlineStr">
        <is>
          <t>Expected Payout</t>
        </is>
      </c>
      <c r="F5" s="6" t="inlineStr">
        <is>
          <t>Expected Payout Normalized</t>
        </is>
      </c>
      <c r="G5" s="6" t="inlineStr">
        <is>
          <t>Interval Start</t>
        </is>
      </c>
      <c r="H5" s="6" t="inlineStr">
        <is>
          <t>Interval End</t>
        </is>
      </c>
    </row>
    <row r="6">
      <c r="A6" t="inlineStr">
        <is>
          <t>buy100_expert_10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1110471</v>
      </c>
    </row>
    <row r="7">
      <c r="A7" t="inlineStr">
        <is>
          <t>buy100_expert_10</t>
        </is>
      </c>
      <c r="B7" t="n">
        <v>2</v>
      </c>
      <c r="C7" t="n">
        <v>250000001</v>
      </c>
      <c r="D7" t="n">
        <v>4</v>
      </c>
      <c r="E7" t="n">
        <v>0</v>
      </c>
      <c r="F7" t="n">
        <v>0</v>
      </c>
      <c r="G7" t="n">
        <v>182689940</v>
      </c>
      <c r="H7" t="n">
        <v>392966206</v>
      </c>
    </row>
    <row r="8">
      <c r="A8" t="inlineStr">
        <is>
          <t>buy100_expert_10</t>
        </is>
      </c>
      <c r="B8" t="n">
        <v>3</v>
      </c>
      <c r="C8" t="n">
        <v>500000002</v>
      </c>
      <c r="D8" t="n">
        <v>5</v>
      </c>
      <c r="E8" t="n">
        <v>0</v>
      </c>
      <c r="F8" t="n">
        <v>0</v>
      </c>
      <c r="G8" t="n">
        <v>392966207</v>
      </c>
      <c r="H8" t="n">
        <v>638854211</v>
      </c>
    </row>
    <row r="9">
      <c r="A9" t="inlineStr">
        <is>
          <t>buy100_expert_10</t>
        </is>
      </c>
      <c r="B9" t="n">
        <v>4</v>
      </c>
      <c r="C9" t="n">
        <v>750000003</v>
      </c>
      <c r="D9" t="n">
        <v>6</v>
      </c>
      <c r="E9" t="n">
        <v>0</v>
      </c>
      <c r="F9" t="n">
        <v>0</v>
      </c>
      <c r="G9" t="n">
        <v>638854212</v>
      </c>
      <c r="H9" t="n">
        <v>838528403</v>
      </c>
    </row>
    <row r="10">
      <c r="A10" t="inlineStr">
        <is>
          <t>buy100_expert_10</t>
        </is>
      </c>
      <c r="B10" t="n">
        <v>5</v>
      </c>
      <c r="C10" t="n">
        <v>1000000004</v>
      </c>
      <c r="D10" t="n">
        <v>10</v>
      </c>
      <c r="E10" t="n">
        <v>100000</v>
      </c>
      <c r="F10" t="n">
        <v>1010.10101010101</v>
      </c>
      <c r="G10" t="n">
        <v>999142635</v>
      </c>
      <c r="H10" t="n">
        <v>1000000004</v>
      </c>
    </row>
    <row r="11">
      <c r="A11" t="inlineStr">
        <is>
          <t>buy100_expert_11</t>
        </is>
      </c>
      <c r="B11" t="n">
        <v>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269774</v>
      </c>
    </row>
    <row r="12">
      <c r="A12" t="inlineStr">
        <is>
          <t>buy100_expert_11</t>
        </is>
      </c>
      <c r="B12" t="n">
        <v>7</v>
      </c>
      <c r="C12" t="n">
        <v>250000000</v>
      </c>
      <c r="D12" t="n">
        <v>5</v>
      </c>
      <c r="E12" t="n">
        <v>0</v>
      </c>
      <c r="F12" t="n">
        <v>0</v>
      </c>
      <c r="G12" t="n">
        <v>218444557</v>
      </c>
      <c r="H12" t="n">
        <v>429255121</v>
      </c>
    </row>
    <row r="13">
      <c r="A13" t="inlineStr">
        <is>
          <t>buy100_expert_11</t>
        </is>
      </c>
      <c r="B13" t="n">
        <v>8</v>
      </c>
      <c r="C13" t="n">
        <v>500000000</v>
      </c>
      <c r="D13" t="n">
        <v>6</v>
      </c>
      <c r="E13" t="n">
        <v>0</v>
      </c>
      <c r="F13" t="n">
        <v>0</v>
      </c>
      <c r="G13" t="n">
        <v>429255122</v>
      </c>
      <c r="H13" t="n">
        <v>663431029</v>
      </c>
    </row>
    <row r="14">
      <c r="A14" t="inlineStr">
        <is>
          <t>buy100_expert_11</t>
        </is>
      </c>
      <c r="B14" t="n">
        <v>9</v>
      </c>
      <c r="C14" t="n">
        <v>750000000</v>
      </c>
      <c r="D14" t="n">
        <v>7</v>
      </c>
      <c r="E14" t="n">
        <v>0</v>
      </c>
      <c r="F14" t="n">
        <v>0</v>
      </c>
      <c r="G14" t="n">
        <v>663431030</v>
      </c>
      <c r="H14" t="n">
        <v>849238862</v>
      </c>
    </row>
    <row r="15">
      <c r="A15" t="inlineStr">
        <is>
          <t>buy100_expert_11</t>
        </is>
      </c>
      <c r="B15" t="n">
        <v>10</v>
      </c>
      <c r="C15" t="n">
        <v>999999999</v>
      </c>
      <c r="D15" t="n">
        <v>11</v>
      </c>
      <c r="E15" t="n">
        <v>100000</v>
      </c>
      <c r="F15" t="n">
        <v>1010.10101010101</v>
      </c>
      <c r="G15" t="n">
        <v>999142668</v>
      </c>
      <c r="H15" t="n">
        <v>999999999</v>
      </c>
    </row>
    <row r="16">
      <c r="A16" t="inlineStr">
        <is>
          <t>buy100_expert_12</t>
        </is>
      </c>
      <c r="B16" t="n">
        <v>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60019</v>
      </c>
    </row>
    <row r="17">
      <c r="A17" t="inlineStr">
        <is>
          <t>buy100_expert_12</t>
        </is>
      </c>
      <c r="B17" t="n">
        <v>12</v>
      </c>
      <c r="C17" t="n">
        <v>249999999</v>
      </c>
      <c r="D17" t="n">
        <v>6</v>
      </c>
      <c r="E17" t="n">
        <v>0</v>
      </c>
      <c r="F17" t="n">
        <v>0</v>
      </c>
      <c r="G17" t="n">
        <v>248833763</v>
      </c>
      <c r="H17" t="n">
        <v>458432864</v>
      </c>
    </row>
    <row r="18">
      <c r="A18" t="inlineStr">
        <is>
          <t>buy100_expert_12</t>
        </is>
      </c>
      <c r="B18" t="n">
        <v>13</v>
      </c>
      <c r="C18" t="n">
        <v>499999999</v>
      </c>
      <c r="D18" t="n">
        <v>7</v>
      </c>
      <c r="E18" t="n">
        <v>0</v>
      </c>
      <c r="F18" t="n">
        <v>0</v>
      </c>
      <c r="G18" t="n">
        <v>458432865</v>
      </c>
      <c r="H18" t="n">
        <v>682655234</v>
      </c>
    </row>
    <row r="19">
      <c r="A19" t="inlineStr">
        <is>
          <t>buy100_expert_12</t>
        </is>
      </c>
      <c r="B19" t="n">
        <v>14</v>
      </c>
      <c r="C19" t="n">
        <v>749999999</v>
      </c>
      <c r="D19" t="n">
        <v>8</v>
      </c>
      <c r="E19" t="n">
        <v>0</v>
      </c>
      <c r="F19" t="n">
        <v>0</v>
      </c>
      <c r="G19" t="n">
        <v>682655235</v>
      </c>
      <c r="H19" t="n">
        <v>857557432</v>
      </c>
    </row>
    <row r="20">
      <c r="A20" t="inlineStr">
        <is>
          <t>buy100_expert_12</t>
        </is>
      </c>
      <c r="B20" t="n">
        <v>15</v>
      </c>
      <c r="C20" t="n">
        <v>999999998</v>
      </c>
      <c r="D20" t="n">
        <v>12</v>
      </c>
      <c r="E20" t="n">
        <v>100000</v>
      </c>
      <c r="F20" t="n">
        <v>1010.10101010101</v>
      </c>
      <c r="G20" t="n">
        <v>999142693</v>
      </c>
      <c r="H20" t="n">
        <v>999999998</v>
      </c>
    </row>
    <row r="21">
      <c r="A21" t="inlineStr">
        <is>
          <t>buy100_expert_13</t>
        </is>
      </c>
      <c r="B21" t="n">
        <v>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12313</v>
      </c>
    </row>
    <row r="22">
      <c r="A22" t="inlineStr">
        <is>
          <t>buy100_expert_13</t>
        </is>
      </c>
      <c r="B22" t="n">
        <v>17</v>
      </c>
      <c r="C22" t="n">
        <v>249999999</v>
      </c>
      <c r="D22" t="n">
        <v>6</v>
      </c>
      <c r="E22" t="n">
        <v>0</v>
      </c>
      <c r="F22" t="n">
        <v>0</v>
      </c>
      <c r="G22" t="n">
        <v>124984521</v>
      </c>
      <c r="H22" t="n">
        <v>274747556</v>
      </c>
    </row>
    <row r="23">
      <c r="A23" t="inlineStr">
        <is>
          <t>buy100_expert_13</t>
        </is>
      </c>
      <c r="B23" t="n">
        <v>18</v>
      </c>
      <c r="C23" t="n">
        <v>499999998</v>
      </c>
      <c r="D23" t="n">
        <v>8</v>
      </c>
      <c r="E23" t="n">
        <v>0</v>
      </c>
      <c r="F23" t="n">
        <v>0</v>
      </c>
      <c r="G23" t="n">
        <v>482311830</v>
      </c>
      <c r="H23" t="n">
        <v>698067307</v>
      </c>
    </row>
    <row r="24">
      <c r="A24" t="inlineStr">
        <is>
          <t>buy100_expert_13</t>
        </is>
      </c>
      <c r="B24" t="n">
        <v>19</v>
      </c>
      <c r="C24" t="n">
        <v>749999997</v>
      </c>
      <c r="D24" t="n">
        <v>9</v>
      </c>
      <c r="E24" t="n">
        <v>0</v>
      </c>
      <c r="F24" t="n">
        <v>0</v>
      </c>
      <c r="G24" t="n">
        <v>698067308</v>
      </c>
      <c r="H24" t="n">
        <v>864193186</v>
      </c>
    </row>
    <row r="25">
      <c r="A25" t="inlineStr">
        <is>
          <t>buy100_expert_13</t>
        </is>
      </c>
      <c r="B25" t="n">
        <v>20</v>
      </c>
      <c r="C25" t="n">
        <v>999999995</v>
      </c>
      <c r="D25" t="n">
        <v>13</v>
      </c>
      <c r="E25" t="n">
        <v>100000</v>
      </c>
      <c r="F25" t="n">
        <v>1010.10101010101</v>
      </c>
      <c r="G25" t="n">
        <v>999142717</v>
      </c>
      <c r="H25" t="n">
        <v>999999995</v>
      </c>
    </row>
    <row r="26">
      <c r="A26" t="inlineStr">
        <is>
          <t>buy100_expert_14</t>
        </is>
      </c>
      <c r="B26" t="n">
        <v>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2343</v>
      </c>
    </row>
    <row r="27">
      <c r="A27" t="inlineStr">
        <is>
          <t>buy100_expert_14</t>
        </is>
      </c>
      <c r="B27" t="n">
        <v>22</v>
      </c>
      <c r="C27" t="n">
        <v>250000000</v>
      </c>
      <c r="D27" t="n">
        <v>7</v>
      </c>
      <c r="E27" t="n">
        <v>0</v>
      </c>
      <c r="F27" t="n">
        <v>0</v>
      </c>
      <c r="G27" t="n">
        <v>143153327</v>
      </c>
      <c r="H27" t="n">
        <v>296983219</v>
      </c>
    </row>
    <row r="28">
      <c r="A28" t="inlineStr">
        <is>
          <t>buy100_expert_14</t>
        </is>
      </c>
      <c r="B28" t="n">
        <v>23</v>
      </c>
      <c r="C28" t="n">
        <v>500000000</v>
      </c>
      <c r="D28" t="n">
        <v>8</v>
      </c>
      <c r="E28" t="n">
        <v>0</v>
      </c>
      <c r="F28" t="n">
        <v>0</v>
      </c>
      <c r="G28" t="n">
        <v>296983220</v>
      </c>
      <c r="H28" t="n">
        <v>502164257</v>
      </c>
    </row>
    <row r="29">
      <c r="A29" t="inlineStr">
        <is>
          <t>buy100_expert_14</t>
        </is>
      </c>
      <c r="B29" t="n">
        <v>24</v>
      </c>
      <c r="C29" t="n">
        <v>750000000</v>
      </c>
      <c r="D29" t="n">
        <v>10</v>
      </c>
      <c r="E29" t="n">
        <v>0</v>
      </c>
      <c r="F29" t="n">
        <v>0</v>
      </c>
      <c r="G29" t="n">
        <v>710677863</v>
      </c>
      <c r="H29" t="n">
        <v>869603086</v>
      </c>
    </row>
    <row r="30">
      <c r="A30" t="inlineStr">
        <is>
          <t>buy100_expert_14</t>
        </is>
      </c>
      <c r="B30" t="n">
        <v>25</v>
      </c>
      <c r="C30" t="n">
        <v>1000000000</v>
      </c>
      <c r="D30" t="n">
        <v>14</v>
      </c>
      <c r="E30" t="n">
        <v>100000</v>
      </c>
      <c r="F30" t="n">
        <v>1010.10101010101</v>
      </c>
      <c r="G30" t="n">
        <v>999142741</v>
      </c>
      <c r="H30" t="n">
        <v>1000000000</v>
      </c>
    </row>
    <row r="31">
      <c r="A31" t="inlineStr">
        <is>
          <t>buy100_expert_15</t>
        </is>
      </c>
      <c r="B31" t="n">
        <v>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415</v>
      </c>
    </row>
    <row r="32">
      <c r="A32" t="inlineStr">
        <is>
          <t>buy100_expert_15</t>
        </is>
      </c>
      <c r="B32" t="n">
        <v>27</v>
      </c>
      <c r="C32" t="n">
        <v>250000001</v>
      </c>
      <c r="D32" t="n">
        <v>8</v>
      </c>
      <c r="E32" t="n">
        <v>0</v>
      </c>
      <c r="F32" t="n">
        <v>0</v>
      </c>
      <c r="G32" t="n">
        <v>159508971</v>
      </c>
      <c r="H32" t="n">
        <v>316201898</v>
      </c>
    </row>
    <row r="33">
      <c r="A33" t="inlineStr">
        <is>
          <t>buy100_expert_15</t>
        </is>
      </c>
      <c r="B33" t="n">
        <v>28</v>
      </c>
      <c r="C33" t="n">
        <v>500000003</v>
      </c>
      <c r="D33" t="n">
        <v>9</v>
      </c>
      <c r="E33" t="n">
        <v>0</v>
      </c>
      <c r="F33" t="n">
        <v>0</v>
      </c>
      <c r="G33" t="n">
        <v>316201899</v>
      </c>
      <c r="H33" t="n">
        <v>518899267</v>
      </c>
    </row>
    <row r="34">
      <c r="A34" t="inlineStr">
        <is>
          <t>buy100_expert_15</t>
        </is>
      </c>
      <c r="B34" t="n">
        <v>29</v>
      </c>
      <c r="C34" t="n">
        <v>750000005</v>
      </c>
      <c r="D34" t="n">
        <v>11</v>
      </c>
      <c r="E34" t="n">
        <v>0</v>
      </c>
      <c r="F34" t="n">
        <v>0</v>
      </c>
      <c r="G34" t="n">
        <v>721174425</v>
      </c>
      <c r="H34" t="n">
        <v>874093988</v>
      </c>
    </row>
    <row r="35">
      <c r="A35" t="inlineStr">
        <is>
          <t>buy100_expert_15</t>
        </is>
      </c>
      <c r="B35" t="n">
        <v>30</v>
      </c>
      <c r="C35" t="n">
        <v>1000000006</v>
      </c>
      <c r="D35" t="n">
        <v>15</v>
      </c>
      <c r="E35" t="n">
        <v>100000</v>
      </c>
      <c r="F35" t="n">
        <v>1010.10101010101</v>
      </c>
      <c r="G35" t="n">
        <v>999142760</v>
      </c>
      <c r="H35" t="n">
        <v>1000000006</v>
      </c>
    </row>
    <row r="36">
      <c r="A36" t="inlineStr">
        <is>
          <t>buy100_expert_16</t>
        </is>
      </c>
      <c r="B36" t="n">
        <v>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68</v>
      </c>
    </row>
    <row r="37">
      <c r="A37" t="inlineStr">
        <is>
          <t>buy100_expert_16</t>
        </is>
      </c>
      <c r="B37" t="n">
        <v>32</v>
      </c>
      <c r="C37" t="n">
        <v>250000000</v>
      </c>
      <c r="D37" t="n">
        <v>9</v>
      </c>
      <c r="E37" t="n">
        <v>0</v>
      </c>
      <c r="F37" t="n">
        <v>0</v>
      </c>
      <c r="G37" t="n">
        <v>174223093</v>
      </c>
      <c r="H37" t="n">
        <v>332936692</v>
      </c>
    </row>
    <row r="38">
      <c r="A38" t="inlineStr">
        <is>
          <t>buy100_expert_16</t>
        </is>
      </c>
      <c r="B38" t="n">
        <v>33</v>
      </c>
      <c r="C38" t="n">
        <v>500000001</v>
      </c>
      <c r="D38" t="n">
        <v>10</v>
      </c>
      <c r="E38" t="n">
        <v>0</v>
      </c>
      <c r="F38" t="n">
        <v>0</v>
      </c>
      <c r="G38" t="n">
        <v>332936693</v>
      </c>
      <c r="H38" t="n">
        <v>533179073</v>
      </c>
    </row>
    <row r="39">
      <c r="A39" t="inlineStr">
        <is>
          <t>buy100_expert_16</t>
        </is>
      </c>
      <c r="B39" t="n">
        <v>34</v>
      </c>
      <c r="C39" t="n">
        <v>750000001</v>
      </c>
      <c r="D39" t="n">
        <v>12</v>
      </c>
      <c r="E39" t="n">
        <v>0</v>
      </c>
      <c r="F39" t="n">
        <v>0</v>
      </c>
      <c r="G39" t="n">
        <v>730039484</v>
      </c>
      <c r="H39" t="n">
        <v>877879146</v>
      </c>
    </row>
    <row r="40">
      <c r="A40" t="inlineStr">
        <is>
          <t>buy100_expert_16</t>
        </is>
      </c>
      <c r="B40" t="n">
        <v>35</v>
      </c>
      <c r="C40" t="n">
        <v>1000000001</v>
      </c>
      <c r="D40" t="n">
        <v>16</v>
      </c>
      <c r="E40" t="n">
        <v>100000</v>
      </c>
      <c r="F40" t="n">
        <v>1010.10101010101</v>
      </c>
      <c r="G40" t="n">
        <v>999142775</v>
      </c>
      <c r="H40" t="n">
        <v>1000000001</v>
      </c>
    </row>
    <row r="41">
      <c r="A41" t="inlineStr">
        <is>
          <t>buy100_expert_8</t>
        </is>
      </c>
      <c r="B41" t="n">
        <v>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8171996</v>
      </c>
    </row>
    <row r="42">
      <c r="A42" t="inlineStr">
        <is>
          <t>buy100_expert_8</t>
        </is>
      </c>
      <c r="B42" t="n">
        <v>37</v>
      </c>
      <c r="C42" t="n">
        <v>250000003</v>
      </c>
      <c r="D42" t="n">
        <v>3</v>
      </c>
      <c r="E42" t="n">
        <v>0</v>
      </c>
      <c r="F42" t="n">
        <v>0</v>
      </c>
      <c r="G42" t="n">
        <v>217279959</v>
      </c>
      <c r="H42" t="n">
        <v>473056357</v>
      </c>
    </row>
    <row r="43">
      <c r="A43" t="inlineStr">
        <is>
          <t>buy100_expert_8</t>
        </is>
      </c>
      <c r="B43" t="n">
        <v>38</v>
      </c>
      <c r="C43" t="n">
        <v>500000007</v>
      </c>
      <c r="D43" t="n">
        <v>4</v>
      </c>
      <c r="E43" t="n">
        <v>0</v>
      </c>
      <c r="F43" t="n">
        <v>0</v>
      </c>
      <c r="G43" t="n">
        <v>473056358</v>
      </c>
      <c r="H43" t="n">
        <v>736417618</v>
      </c>
    </row>
    <row r="44">
      <c r="A44" t="inlineStr">
        <is>
          <t>buy100_expert_8</t>
        </is>
      </c>
      <c r="B44" t="n">
        <v>39</v>
      </c>
      <c r="C44" t="n">
        <v>750000010</v>
      </c>
      <c r="D44" t="n">
        <v>5</v>
      </c>
      <c r="E44" t="n">
        <v>0.06</v>
      </c>
      <c r="F44" t="n">
        <v>0.0006060606060606061</v>
      </c>
      <c r="G44" t="n">
        <v>736417619</v>
      </c>
      <c r="H44" t="n">
        <v>909967088</v>
      </c>
    </row>
    <row r="45">
      <c r="A45" t="inlineStr">
        <is>
          <t>buy100_expert_8</t>
        </is>
      </c>
      <c r="B45" t="n">
        <v>40</v>
      </c>
      <c r="C45" t="n">
        <v>1000000013</v>
      </c>
      <c r="D45" t="n">
        <v>8</v>
      </c>
      <c r="E45" t="n">
        <v>49500</v>
      </c>
      <c r="F45" t="n">
        <v>500</v>
      </c>
      <c r="G45" t="n">
        <v>998267875</v>
      </c>
      <c r="H45" t="n">
        <v>1000000013</v>
      </c>
    </row>
    <row r="46">
      <c r="A46" t="inlineStr">
        <is>
          <t>buy100_expert_9</t>
        </is>
      </c>
      <c r="B46" t="n">
        <v>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4117419</v>
      </c>
    </row>
    <row r="47">
      <c r="A47" t="inlineStr">
        <is>
          <t>buy100_expert_9</t>
        </is>
      </c>
      <c r="B47" t="n">
        <v>42</v>
      </c>
      <c r="C47" t="n">
        <v>250000000</v>
      </c>
      <c r="D47" t="n">
        <v>3</v>
      </c>
      <c r="E47" t="n">
        <v>0</v>
      </c>
      <c r="F47" t="n">
        <v>0</v>
      </c>
      <c r="G47" t="n">
        <v>140105654</v>
      </c>
      <c r="H47" t="n">
        <v>345795428</v>
      </c>
    </row>
    <row r="48">
      <c r="A48" t="inlineStr">
        <is>
          <t>buy100_expert_9</t>
        </is>
      </c>
      <c r="B48" t="n">
        <v>43</v>
      </c>
      <c r="C48" t="n">
        <v>500000000</v>
      </c>
      <c r="D48" t="n">
        <v>4</v>
      </c>
      <c r="E48" t="n">
        <v>0</v>
      </c>
      <c r="F48" t="n">
        <v>0</v>
      </c>
      <c r="G48" t="n">
        <v>345795429</v>
      </c>
      <c r="H48" t="n">
        <v>605257205</v>
      </c>
    </row>
    <row r="49">
      <c r="A49" t="inlineStr">
        <is>
          <t>buy100_expert_9</t>
        </is>
      </c>
      <c r="B49" t="n">
        <v>44</v>
      </c>
      <c r="C49" t="n">
        <v>750000000</v>
      </c>
      <c r="D49" t="n">
        <v>5</v>
      </c>
      <c r="E49" t="n">
        <v>0</v>
      </c>
      <c r="F49" t="n">
        <v>0</v>
      </c>
      <c r="G49" t="n">
        <v>605257206</v>
      </c>
      <c r="H49" t="n">
        <v>823451210</v>
      </c>
    </row>
    <row r="50">
      <c r="A50" t="inlineStr">
        <is>
          <t>buy100_expert_9</t>
        </is>
      </c>
      <c r="B50" t="n">
        <v>45</v>
      </c>
      <c r="C50" t="n">
        <v>999999999</v>
      </c>
      <c r="D50" t="n">
        <v>9</v>
      </c>
      <c r="E50" t="n">
        <v>99000</v>
      </c>
      <c r="F50" t="n">
        <v>1000</v>
      </c>
      <c r="G50" t="n">
        <v>999133935</v>
      </c>
      <c r="H50" t="n">
        <v>999999999</v>
      </c>
    </row>
    <row r="51">
      <c r="A51" t="inlineStr">
        <is>
          <t>buy100_high_10</t>
        </is>
      </c>
      <c r="B51" t="n">
        <v>46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47666</v>
      </c>
    </row>
    <row r="52">
      <c r="A52" t="inlineStr">
        <is>
          <t>buy100_high_10</t>
        </is>
      </c>
      <c r="B52" t="n">
        <v>47</v>
      </c>
      <c r="C52" t="n">
        <v>250000044</v>
      </c>
      <c r="D52" t="n">
        <v>5</v>
      </c>
      <c r="E52" t="n">
        <v>0</v>
      </c>
      <c r="F52" t="n">
        <v>0</v>
      </c>
      <c r="G52" t="n">
        <v>120057794</v>
      </c>
      <c r="H52" t="n">
        <v>293169796</v>
      </c>
    </row>
    <row r="53">
      <c r="A53" t="inlineStr">
        <is>
          <t>buy100_high_10</t>
        </is>
      </c>
      <c r="B53" t="n">
        <v>48</v>
      </c>
      <c r="C53" t="n">
        <v>500000088</v>
      </c>
      <c r="D53" t="n">
        <v>6</v>
      </c>
      <c r="E53" t="n">
        <v>0.02</v>
      </c>
      <c r="F53" t="n">
        <v>0.000202020202020202</v>
      </c>
      <c r="G53" t="n">
        <v>293169797</v>
      </c>
      <c r="H53" t="n">
        <v>539142914</v>
      </c>
    </row>
    <row r="54">
      <c r="A54" t="inlineStr">
        <is>
          <t>buy100_high_10</t>
        </is>
      </c>
      <c r="B54" t="n">
        <v>49</v>
      </c>
      <c r="C54" t="n">
        <v>750000132</v>
      </c>
      <c r="D54" t="n">
        <v>7</v>
      </c>
      <c r="E54" t="n">
        <v>0.5600000000000001</v>
      </c>
      <c r="F54" t="n">
        <v>0.005656565656565657</v>
      </c>
      <c r="G54" t="n">
        <v>539142915</v>
      </c>
      <c r="H54" t="n">
        <v>778800571</v>
      </c>
    </row>
    <row r="55">
      <c r="A55" t="inlineStr">
        <is>
          <t>buy100_high_10</t>
        </is>
      </c>
      <c r="B55" t="n">
        <v>50</v>
      </c>
      <c r="C55" t="n">
        <v>1000000175</v>
      </c>
      <c r="D55" t="n">
        <v>10</v>
      </c>
      <c r="E55" t="n">
        <v>7524</v>
      </c>
      <c r="F55" t="n">
        <v>76</v>
      </c>
      <c r="G55" t="n">
        <v>990100000</v>
      </c>
      <c r="H55" t="n">
        <v>1000000175</v>
      </c>
    </row>
    <row r="56">
      <c r="A56" t="inlineStr">
        <is>
          <t>buy100_high_11</t>
        </is>
      </c>
      <c r="B56" t="n">
        <v>51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13687</v>
      </c>
    </row>
    <row r="57">
      <c r="A57" t="inlineStr">
        <is>
          <t>buy100_high_11</t>
        </is>
      </c>
      <c r="B57" t="n">
        <v>52</v>
      </c>
      <c r="C57" t="n">
        <v>249999971</v>
      </c>
      <c r="D57" t="n">
        <v>6</v>
      </c>
      <c r="E57" t="n">
        <v>0</v>
      </c>
      <c r="F57" t="n">
        <v>0</v>
      </c>
      <c r="G57" t="n">
        <v>168450525</v>
      </c>
      <c r="H57" t="n">
        <v>361528478</v>
      </c>
    </row>
    <row r="58">
      <c r="A58" t="inlineStr">
        <is>
          <t>buy100_high_11</t>
        </is>
      </c>
      <c r="B58" t="n">
        <v>53</v>
      </c>
      <c r="C58" t="n">
        <v>499999942</v>
      </c>
      <c r="D58" t="n">
        <v>7</v>
      </c>
      <c r="E58" t="n">
        <v>0</v>
      </c>
      <c r="F58" t="n">
        <v>0</v>
      </c>
      <c r="G58" t="n">
        <v>361528479</v>
      </c>
      <c r="H58" t="n">
        <v>605345168</v>
      </c>
    </row>
    <row r="59">
      <c r="A59" t="inlineStr">
        <is>
          <t>buy100_high_11</t>
        </is>
      </c>
      <c r="B59" t="n">
        <v>54</v>
      </c>
      <c r="C59" t="n">
        <v>749999913</v>
      </c>
      <c r="D59" t="n">
        <v>8</v>
      </c>
      <c r="E59" t="n">
        <v>0.06</v>
      </c>
      <c r="F59" t="n">
        <v>0.0006060606060606061</v>
      </c>
      <c r="G59" t="n">
        <v>605345169</v>
      </c>
      <c r="H59" t="n">
        <v>820867467</v>
      </c>
    </row>
    <row r="60">
      <c r="A60" t="inlineStr">
        <is>
          <t>buy100_high_11</t>
        </is>
      </c>
      <c r="B60" t="n">
        <v>55</v>
      </c>
      <c r="C60" t="n">
        <v>999999884</v>
      </c>
      <c r="D60" t="n">
        <v>11</v>
      </c>
      <c r="E60" t="n">
        <v>11880</v>
      </c>
      <c r="F60" t="n">
        <v>120</v>
      </c>
      <c r="G60" t="n">
        <v>992782536</v>
      </c>
      <c r="H60" t="n">
        <v>999999884</v>
      </c>
    </row>
    <row r="61">
      <c r="A61" t="inlineStr">
        <is>
          <t>buy100_high_12</t>
        </is>
      </c>
      <c r="B61" t="n">
        <v>56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4136</v>
      </c>
    </row>
    <row r="62">
      <c r="A62" t="inlineStr">
        <is>
          <t>buy100_high_12</t>
        </is>
      </c>
      <c r="B62" t="n">
        <v>57</v>
      </c>
      <c r="C62" t="n">
        <v>249999992</v>
      </c>
      <c r="D62" t="n">
        <v>7</v>
      </c>
      <c r="E62" t="n">
        <v>0</v>
      </c>
      <c r="F62" t="n">
        <v>0</v>
      </c>
      <c r="G62" t="n">
        <v>225991444</v>
      </c>
      <c r="H62" t="n">
        <v>434011122</v>
      </c>
    </row>
    <row r="63">
      <c r="A63" t="inlineStr">
        <is>
          <t>buy100_high_12</t>
        </is>
      </c>
      <c r="B63" t="n">
        <v>58</v>
      </c>
      <c r="C63" t="n">
        <v>499999984</v>
      </c>
      <c r="D63" t="n">
        <v>8</v>
      </c>
      <c r="E63" t="n">
        <v>0</v>
      </c>
      <c r="F63" t="n">
        <v>0</v>
      </c>
      <c r="G63" t="n">
        <v>434011123</v>
      </c>
      <c r="H63" t="n">
        <v>669255320</v>
      </c>
    </row>
    <row r="64">
      <c r="A64" t="inlineStr">
        <is>
          <t>buy100_high_12</t>
        </is>
      </c>
      <c r="B64" t="n">
        <v>59</v>
      </c>
      <c r="C64" t="n">
        <v>749999976</v>
      </c>
      <c r="D64" t="n">
        <v>9</v>
      </c>
      <c r="E64" t="n">
        <v>0.07000000000000001</v>
      </c>
      <c r="F64" t="n">
        <v>0.0007070707070707072</v>
      </c>
      <c r="G64" t="n">
        <v>669255321</v>
      </c>
      <c r="H64" t="n">
        <v>858433431</v>
      </c>
    </row>
    <row r="65">
      <c r="A65" t="inlineStr">
        <is>
          <t>buy100_high_12</t>
        </is>
      </c>
      <c r="B65" t="n">
        <v>60</v>
      </c>
      <c r="C65" t="n">
        <v>999999967</v>
      </c>
      <c r="D65" t="n">
        <v>12</v>
      </c>
      <c r="E65" t="n">
        <v>16830</v>
      </c>
      <c r="F65" t="n">
        <v>170</v>
      </c>
      <c r="G65" t="n">
        <v>994906086</v>
      </c>
      <c r="H65" t="n">
        <v>999999967</v>
      </c>
    </row>
    <row r="66">
      <c r="A66" t="inlineStr">
        <is>
          <t>buy100_high_13</t>
        </is>
      </c>
      <c r="B66" t="n">
        <v>61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1432</v>
      </c>
    </row>
    <row r="67">
      <c r="A67" t="inlineStr">
        <is>
          <t>buy100_high_13</t>
        </is>
      </c>
      <c r="B67" t="n">
        <v>62</v>
      </c>
      <c r="C67" t="n">
        <v>250000001</v>
      </c>
      <c r="D67" t="n">
        <v>7</v>
      </c>
      <c r="E67" t="n">
        <v>0</v>
      </c>
      <c r="F67" t="n">
        <v>0</v>
      </c>
      <c r="G67" t="n">
        <v>138313657</v>
      </c>
      <c r="H67" t="n">
        <v>298027169</v>
      </c>
    </row>
    <row r="68">
      <c r="A68" t="inlineStr">
        <is>
          <t>buy100_high_13</t>
        </is>
      </c>
      <c r="B68" t="n">
        <v>63</v>
      </c>
      <c r="C68" t="n">
        <v>500000003</v>
      </c>
      <c r="D68" t="n">
        <v>8</v>
      </c>
      <c r="E68" t="n">
        <v>0</v>
      </c>
      <c r="F68" t="n">
        <v>0</v>
      </c>
      <c r="G68" t="n">
        <v>298027170</v>
      </c>
      <c r="H68" t="n">
        <v>515470817</v>
      </c>
    </row>
    <row r="69">
      <c r="A69" t="inlineStr">
        <is>
          <t>buy100_high_13</t>
        </is>
      </c>
      <c r="B69" t="n">
        <v>64</v>
      </c>
      <c r="C69" t="n">
        <v>750000005</v>
      </c>
      <c r="D69" t="n">
        <v>10</v>
      </c>
      <c r="E69" t="n">
        <v>0.08</v>
      </c>
      <c r="F69" t="n">
        <v>0.0008080808080808081</v>
      </c>
      <c r="G69" t="n">
        <v>734760411</v>
      </c>
      <c r="H69" t="n">
        <v>893989280</v>
      </c>
    </row>
    <row r="70">
      <c r="A70" t="inlineStr">
        <is>
          <t>buy100_high_13</t>
        </is>
      </c>
      <c r="B70" t="n">
        <v>65</v>
      </c>
      <c r="C70" t="n">
        <v>1000000006</v>
      </c>
      <c r="D70" t="n">
        <v>13</v>
      </c>
      <c r="E70" t="n">
        <v>25740</v>
      </c>
      <c r="F70" t="n">
        <v>260</v>
      </c>
      <c r="G70" t="n">
        <v>996669672</v>
      </c>
      <c r="H70" t="n">
        <v>1000000006</v>
      </c>
    </row>
    <row r="71">
      <c r="A71" t="inlineStr">
        <is>
          <t>buy100_high_14</t>
        </is>
      </c>
      <c r="B71" t="n">
        <v>66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547</v>
      </c>
    </row>
    <row r="72">
      <c r="A72" t="inlineStr">
        <is>
          <t>buy100_high_14</t>
        </is>
      </c>
      <c r="B72" t="n">
        <v>67</v>
      </c>
      <c r="C72" t="n">
        <v>249999999</v>
      </c>
      <c r="D72" t="n">
        <v>8</v>
      </c>
      <c r="E72" t="n">
        <v>0</v>
      </c>
      <c r="F72" t="n">
        <v>0</v>
      </c>
      <c r="G72" t="n">
        <v>199262164</v>
      </c>
      <c r="H72" t="n">
        <v>380982685</v>
      </c>
    </row>
    <row r="73">
      <c r="A73" t="inlineStr">
        <is>
          <t>buy100_high_14</t>
        </is>
      </c>
      <c r="B73" t="n">
        <v>68</v>
      </c>
      <c r="C73" t="n">
        <v>499999999</v>
      </c>
      <c r="D73" t="n">
        <v>9</v>
      </c>
      <c r="E73" t="n">
        <v>0</v>
      </c>
      <c r="F73" t="n">
        <v>0</v>
      </c>
      <c r="G73" t="n">
        <v>380982686</v>
      </c>
      <c r="H73" t="n">
        <v>599107024</v>
      </c>
    </row>
    <row r="74">
      <c r="A74" t="inlineStr">
        <is>
          <t>buy100_high_14</t>
        </is>
      </c>
      <c r="B74" t="n">
        <v>69</v>
      </c>
      <c r="C74" t="n">
        <v>749999999</v>
      </c>
      <c r="D74" t="n">
        <v>10</v>
      </c>
      <c r="E74" t="n">
        <v>0</v>
      </c>
      <c r="F74" t="n">
        <v>0</v>
      </c>
      <c r="G74" t="n">
        <v>599107025</v>
      </c>
      <c r="H74" t="n">
        <v>795472685</v>
      </c>
    </row>
    <row r="75">
      <c r="A75" t="inlineStr">
        <is>
          <t>buy100_high_14</t>
        </is>
      </c>
      <c r="B75" t="n">
        <v>70</v>
      </c>
      <c r="C75" t="n">
        <v>999999998</v>
      </c>
      <c r="D75" t="n">
        <v>14</v>
      </c>
      <c r="E75" t="n">
        <v>41580</v>
      </c>
      <c r="F75" t="n">
        <v>420</v>
      </c>
      <c r="G75" t="n">
        <v>997938433</v>
      </c>
      <c r="H75" t="n">
        <v>999999998</v>
      </c>
    </row>
    <row r="76">
      <c r="A76" t="inlineStr">
        <is>
          <t>buy100_high_15</t>
        </is>
      </c>
      <c r="B76" t="n">
        <v>71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308</v>
      </c>
    </row>
    <row r="77">
      <c r="A77" t="inlineStr">
        <is>
          <t>buy100_high_15</t>
        </is>
      </c>
      <c r="B77" t="n">
        <v>72</v>
      </c>
      <c r="C77" t="n">
        <v>250000000</v>
      </c>
      <c r="D77" t="n">
        <v>8</v>
      </c>
      <c r="E77" t="n">
        <v>0</v>
      </c>
      <c r="F77" t="n">
        <v>0</v>
      </c>
      <c r="G77" t="n">
        <v>145138949</v>
      </c>
      <c r="H77" t="n">
        <v>294959829</v>
      </c>
    </row>
    <row r="78">
      <c r="A78" t="inlineStr">
        <is>
          <t>buy100_high_15</t>
        </is>
      </c>
      <c r="B78" t="n">
        <v>73</v>
      </c>
      <c r="C78" t="n">
        <v>500000000</v>
      </c>
      <c r="D78" t="n">
        <v>10</v>
      </c>
      <c r="E78" t="n">
        <v>0.02</v>
      </c>
      <c r="F78" t="n">
        <v>0.000202020202020202</v>
      </c>
      <c r="G78" t="n">
        <v>494973118</v>
      </c>
      <c r="H78" t="n">
        <v>700960713</v>
      </c>
    </row>
    <row r="79">
      <c r="A79" t="inlineStr">
        <is>
          <t>buy100_high_15</t>
        </is>
      </c>
      <c r="B79" t="n">
        <v>74</v>
      </c>
      <c r="C79" t="n">
        <v>750000000</v>
      </c>
      <c r="D79" t="n">
        <v>11</v>
      </c>
      <c r="E79" t="n">
        <v>0.33</v>
      </c>
      <c r="F79" t="n">
        <v>0.003333333333333334</v>
      </c>
      <c r="G79" t="n">
        <v>700960714</v>
      </c>
      <c r="H79" t="n">
        <v>861673103</v>
      </c>
    </row>
    <row r="80">
      <c r="A80" t="inlineStr">
        <is>
          <t>buy100_high_15</t>
        </is>
      </c>
      <c r="B80" t="n">
        <v>75</v>
      </c>
      <c r="C80" t="n">
        <v>1000000000</v>
      </c>
      <c r="D80" t="n">
        <v>15</v>
      </c>
      <c r="E80" t="n">
        <v>61380</v>
      </c>
      <c r="F80" t="n">
        <v>620</v>
      </c>
      <c r="G80" t="n">
        <v>998978024</v>
      </c>
      <c r="H80" t="n">
        <v>1000000000</v>
      </c>
    </row>
    <row r="81">
      <c r="A81" t="inlineStr">
        <is>
          <t>buy100_high_16</t>
        </is>
      </c>
      <c r="B81" t="n">
        <v>76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290</v>
      </c>
    </row>
    <row r="82">
      <c r="A82" t="inlineStr">
        <is>
          <t>buy100_high_16</t>
        </is>
      </c>
      <c r="B82" t="n">
        <v>77</v>
      </c>
      <c r="C82" t="n">
        <v>249999998</v>
      </c>
      <c r="D82" t="n">
        <v>8</v>
      </c>
      <c r="E82" t="n">
        <v>0</v>
      </c>
      <c r="F82" t="n">
        <v>0</v>
      </c>
      <c r="G82" t="n">
        <v>124864829</v>
      </c>
      <c r="H82" t="n">
        <v>257306195</v>
      </c>
    </row>
    <row r="83">
      <c r="A83" t="inlineStr">
        <is>
          <t>buy100_high_16</t>
        </is>
      </c>
      <c r="B83" t="n">
        <v>78</v>
      </c>
      <c r="C83" t="n">
        <v>499999996</v>
      </c>
      <c r="D83" t="n">
        <v>10</v>
      </c>
      <c r="E83" t="n">
        <v>0.09</v>
      </c>
      <c r="F83" t="n">
        <v>0.0009090909090909091</v>
      </c>
      <c r="G83" t="n">
        <v>441130236</v>
      </c>
      <c r="H83" t="n">
        <v>642054099</v>
      </c>
    </row>
    <row r="84">
      <c r="A84" t="inlineStr">
        <is>
          <t>buy100_high_16</t>
        </is>
      </c>
      <c r="B84" t="n">
        <v>79</v>
      </c>
      <c r="C84" t="n">
        <v>749999994</v>
      </c>
      <c r="D84" t="n">
        <v>11</v>
      </c>
      <c r="E84" t="n">
        <v>0.88</v>
      </c>
      <c r="F84" t="n">
        <v>0.008888888888888889</v>
      </c>
      <c r="G84" t="n">
        <v>642054100</v>
      </c>
      <c r="H84" t="n">
        <v>813182173</v>
      </c>
    </row>
    <row r="85">
      <c r="A85" t="inlineStr">
        <is>
          <t>buy100_high_16</t>
        </is>
      </c>
      <c r="B85" t="n">
        <v>80</v>
      </c>
      <c r="C85" t="n">
        <v>999999992</v>
      </c>
      <c r="D85" t="n">
        <v>16</v>
      </c>
      <c r="E85" t="n">
        <v>99000</v>
      </c>
      <c r="F85" t="n">
        <v>1000</v>
      </c>
      <c r="G85" t="n">
        <v>999636340</v>
      </c>
      <c r="H85" t="n">
        <v>999999992</v>
      </c>
    </row>
    <row r="86">
      <c r="A86" t="inlineStr">
        <is>
          <t>buy100_high_8</t>
        </is>
      </c>
      <c r="B86" t="n">
        <v>81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252675</v>
      </c>
    </row>
    <row r="87">
      <c r="A87" t="inlineStr">
        <is>
          <t>buy100_high_8</t>
        </is>
      </c>
      <c r="B87" t="n">
        <v>82</v>
      </c>
      <c r="C87" t="n">
        <v>249999926</v>
      </c>
      <c r="D87" t="n">
        <v>4</v>
      </c>
      <c r="E87" t="n">
        <v>0</v>
      </c>
      <c r="F87" t="n">
        <v>0</v>
      </c>
      <c r="G87" t="n">
        <v>112048836</v>
      </c>
      <c r="H87" t="n">
        <v>304542358</v>
      </c>
    </row>
    <row r="88">
      <c r="A88" t="inlineStr">
        <is>
          <t>buy100_high_8</t>
        </is>
      </c>
      <c r="B88" t="n">
        <v>83</v>
      </c>
      <c r="C88" t="n">
        <v>499999853</v>
      </c>
      <c r="D88" t="n">
        <v>5</v>
      </c>
      <c r="E88" t="n">
        <v>0.04</v>
      </c>
      <c r="F88" t="n">
        <v>0.000404040404040404</v>
      </c>
      <c r="G88" t="n">
        <v>304542359</v>
      </c>
      <c r="H88" t="n">
        <v>584243663</v>
      </c>
    </row>
    <row r="89">
      <c r="A89" t="inlineStr">
        <is>
          <t>buy100_high_8</t>
        </is>
      </c>
      <c r="B89" t="n">
        <v>84</v>
      </c>
      <c r="C89" t="n">
        <v>749999779</v>
      </c>
      <c r="D89" t="n">
        <v>6</v>
      </c>
      <c r="E89" t="n">
        <v>1.54</v>
      </c>
      <c r="F89" t="n">
        <v>0.01555555555555556</v>
      </c>
      <c r="G89" t="n">
        <v>584243664</v>
      </c>
      <c r="H89" t="n">
        <v>838254872</v>
      </c>
    </row>
    <row r="90">
      <c r="A90" t="inlineStr">
        <is>
          <t>buy100_high_8</t>
        </is>
      </c>
      <c r="B90" t="n">
        <v>85</v>
      </c>
      <c r="C90" t="n">
        <v>999999705</v>
      </c>
      <c r="D90" t="n">
        <v>8</v>
      </c>
      <c r="E90" t="n">
        <v>2871</v>
      </c>
      <c r="F90" t="n">
        <v>29</v>
      </c>
      <c r="G90" t="n">
        <v>970072419</v>
      </c>
      <c r="H90" t="n">
        <v>999999705</v>
      </c>
    </row>
    <row r="91">
      <c r="A91" t="inlineStr">
        <is>
          <t>buy100_high_9</t>
        </is>
      </c>
      <c r="B91" t="n">
        <v>86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82819</v>
      </c>
    </row>
    <row r="92">
      <c r="A92" t="inlineStr">
        <is>
          <t>buy100_high_9</t>
        </is>
      </c>
      <c r="B92" t="n">
        <v>87</v>
      </c>
      <c r="C92" t="n">
        <v>249999987</v>
      </c>
      <c r="D92" t="n">
        <v>5</v>
      </c>
      <c r="E92" t="n">
        <v>0</v>
      </c>
      <c r="F92" t="n">
        <v>0</v>
      </c>
      <c r="G92" t="n">
        <v>174997302</v>
      </c>
      <c r="H92" t="n">
        <v>395955136</v>
      </c>
    </row>
    <row r="93">
      <c r="A93" t="inlineStr">
        <is>
          <t>buy100_high_9</t>
        </is>
      </c>
      <c r="B93" t="n">
        <v>88</v>
      </c>
      <c r="C93" t="n">
        <v>499999974</v>
      </c>
      <c r="D93" t="n">
        <v>6</v>
      </c>
      <c r="E93" t="n">
        <v>0.04</v>
      </c>
      <c r="F93" t="n">
        <v>0.000404040404040404</v>
      </c>
      <c r="G93" t="n">
        <v>395955137</v>
      </c>
      <c r="H93" t="n">
        <v>667210812</v>
      </c>
    </row>
    <row r="94">
      <c r="A94" t="inlineStr">
        <is>
          <t>buy100_high_9</t>
        </is>
      </c>
      <c r="B94" t="n">
        <v>89</v>
      </c>
      <c r="C94" t="n">
        <v>749999961</v>
      </c>
      <c r="D94" t="n">
        <v>7</v>
      </c>
      <c r="E94" t="n">
        <v>1.89</v>
      </c>
      <c r="F94" t="n">
        <v>0.01909090909090909</v>
      </c>
      <c r="G94" t="n">
        <v>667210813</v>
      </c>
      <c r="H94" t="n">
        <v>881284227</v>
      </c>
    </row>
    <row r="95">
      <c r="A95" t="inlineStr">
        <is>
          <t>buy100_high_9</t>
        </is>
      </c>
      <c r="B95" t="n">
        <v>90</v>
      </c>
      <c r="C95" t="n">
        <v>999999948</v>
      </c>
      <c r="D95" t="n">
        <v>9</v>
      </c>
      <c r="E95" t="n">
        <v>4257</v>
      </c>
      <c r="F95" t="n">
        <v>43</v>
      </c>
      <c r="G95" t="n">
        <v>979835772</v>
      </c>
      <c r="H95" t="n">
        <v>999999948</v>
      </c>
    </row>
    <row r="96">
      <c r="A96" t="inlineStr">
        <is>
          <t>buy100_low_10</t>
        </is>
      </c>
      <c r="B96" t="n">
        <v>91</v>
      </c>
      <c r="C96" t="n">
        <v>0</v>
      </c>
      <c r="D96" t="n">
        <v>0</v>
      </c>
      <c r="E96" t="n">
        <v>0.05</v>
      </c>
      <c r="F96" t="n">
        <v>0.0005050505050505051</v>
      </c>
      <c r="G96" t="n">
        <v>0</v>
      </c>
      <c r="H96" t="n">
        <v>11655</v>
      </c>
    </row>
    <row r="97">
      <c r="A97" t="inlineStr">
        <is>
          <t>buy100_low_10</t>
        </is>
      </c>
      <c r="B97" t="n">
        <v>92</v>
      </c>
      <c r="C97" t="n">
        <v>250000194</v>
      </c>
      <c r="D97" t="n">
        <v>6</v>
      </c>
      <c r="E97" t="n">
        <v>18.07</v>
      </c>
      <c r="F97" t="n">
        <v>0.1825252525252525</v>
      </c>
      <c r="G97" t="n">
        <v>188796024</v>
      </c>
      <c r="H97" t="n">
        <v>407387360</v>
      </c>
    </row>
    <row r="98">
      <c r="A98" t="inlineStr">
        <is>
          <t>buy100_low_10</t>
        </is>
      </c>
      <c r="B98" t="n">
        <v>93</v>
      </c>
      <c r="C98" t="n">
        <v>500000389</v>
      </c>
      <c r="D98" t="n">
        <v>7</v>
      </c>
      <c r="E98" t="n">
        <v>47.75</v>
      </c>
      <c r="F98" t="n">
        <v>0.4823232323232323</v>
      </c>
      <c r="G98" t="n">
        <v>407387361</v>
      </c>
      <c r="H98" t="n">
        <v>671468947</v>
      </c>
    </row>
    <row r="99">
      <c r="A99" t="inlineStr">
        <is>
          <t>buy100_low_10</t>
        </is>
      </c>
      <c r="B99" t="n">
        <v>94</v>
      </c>
      <c r="C99" t="n">
        <v>750000583</v>
      </c>
      <c r="D99" t="n">
        <v>8</v>
      </c>
      <c r="E99" t="n">
        <v>126.18</v>
      </c>
      <c r="F99" t="n">
        <v>1.274545454545455</v>
      </c>
      <c r="G99" t="n">
        <v>671468948</v>
      </c>
      <c r="H99" t="n">
        <v>880838059</v>
      </c>
    </row>
    <row r="100">
      <c r="A100" t="inlineStr">
        <is>
          <t>buy100_low_10</t>
        </is>
      </c>
      <c r="B100" t="n">
        <v>95</v>
      </c>
      <c r="C100" t="n">
        <v>1000000777</v>
      </c>
      <c r="D100" t="n">
        <v>10</v>
      </c>
      <c r="E100" t="n">
        <v>881.1</v>
      </c>
      <c r="F100" t="n">
        <v>8.9</v>
      </c>
      <c r="G100" t="n">
        <v>979203677</v>
      </c>
      <c r="H100" t="n">
        <v>1000000777</v>
      </c>
    </row>
    <row r="101">
      <c r="A101" t="inlineStr">
        <is>
          <t>buy100_low_11</t>
        </is>
      </c>
      <c r="B101" t="n">
        <v>96</v>
      </c>
      <c r="C101" t="n">
        <v>0</v>
      </c>
      <c r="D101" t="n">
        <v>0</v>
      </c>
      <c r="E101" t="n">
        <v>0.02</v>
      </c>
      <c r="F101" t="n">
        <v>0.000202020202020202</v>
      </c>
      <c r="G101" t="n">
        <v>0</v>
      </c>
      <c r="H101" t="n">
        <v>1027</v>
      </c>
    </row>
    <row r="102">
      <c r="A102" t="inlineStr">
        <is>
          <t>buy100_low_11</t>
        </is>
      </c>
      <c r="B102" t="n">
        <v>97</v>
      </c>
      <c r="C102" t="n">
        <v>250000595</v>
      </c>
      <c r="D102" t="n">
        <v>7</v>
      </c>
      <c r="E102" t="n">
        <v>16.15</v>
      </c>
      <c r="F102" t="n">
        <v>0.1631313131313131</v>
      </c>
      <c r="G102" t="n">
        <v>179553027</v>
      </c>
      <c r="H102" t="n">
        <v>387992741</v>
      </c>
    </row>
    <row r="103">
      <c r="A103" t="inlineStr">
        <is>
          <t>buy100_low_11</t>
        </is>
      </c>
      <c r="B103" t="n">
        <v>98</v>
      </c>
      <c r="C103" t="n">
        <v>500001190</v>
      </c>
      <c r="D103" t="n">
        <v>8</v>
      </c>
      <c r="E103" t="n">
        <v>43.27</v>
      </c>
      <c r="F103" t="n">
        <v>0.4370707070707071</v>
      </c>
      <c r="G103" t="n">
        <v>387992742</v>
      </c>
      <c r="H103" t="n">
        <v>648797686</v>
      </c>
    </row>
    <row r="104">
      <c r="A104" t="inlineStr">
        <is>
          <t>buy100_low_11</t>
        </is>
      </c>
      <c r="B104" t="n">
        <v>99</v>
      </c>
      <c r="C104" t="n">
        <v>750001785</v>
      </c>
      <c r="D104" t="n">
        <v>9</v>
      </c>
      <c r="E104" t="n">
        <v>115.9</v>
      </c>
      <c r="F104" t="n">
        <v>1.170707070707071</v>
      </c>
      <c r="G104" t="n">
        <v>648797687</v>
      </c>
      <c r="H104" t="n">
        <v>866348099</v>
      </c>
    </row>
    <row r="105">
      <c r="A105" t="inlineStr">
        <is>
          <t>buy100_low_11</t>
        </is>
      </c>
      <c r="B105" t="n">
        <v>100</v>
      </c>
      <c r="C105" t="n">
        <v>1000002380</v>
      </c>
      <c r="D105" t="n">
        <v>11</v>
      </c>
      <c r="E105" t="n">
        <v>831.6</v>
      </c>
      <c r="F105" t="n">
        <v>8.4</v>
      </c>
      <c r="G105" t="n">
        <v>975229891</v>
      </c>
      <c r="H105" t="n">
        <v>1000002380</v>
      </c>
    </row>
    <row r="106">
      <c r="A106" t="inlineStr">
        <is>
          <t>buy100_low_12</t>
        </is>
      </c>
      <c r="B106" t="n">
        <v>101</v>
      </c>
      <c r="C106" t="n">
        <v>0</v>
      </c>
      <c r="D106" t="n">
        <v>0</v>
      </c>
      <c r="E106" t="n">
        <v>0.02</v>
      </c>
      <c r="F106" t="n">
        <v>0.000202020202020202</v>
      </c>
      <c r="G106" t="n">
        <v>0</v>
      </c>
      <c r="H106" t="n">
        <v>533</v>
      </c>
    </row>
    <row r="107">
      <c r="A107" t="inlineStr">
        <is>
          <t>buy100_low_12</t>
        </is>
      </c>
      <c r="B107" t="n">
        <v>102</v>
      </c>
      <c r="C107" t="n">
        <v>249999852</v>
      </c>
      <c r="D107" t="n">
        <v>7</v>
      </c>
      <c r="E107" t="n">
        <v>11.33</v>
      </c>
      <c r="F107" t="n">
        <v>0.1144444444444444</v>
      </c>
      <c r="G107" t="n">
        <v>118009744</v>
      </c>
      <c r="H107" t="n">
        <v>276612806</v>
      </c>
    </row>
    <row r="108">
      <c r="A108" t="inlineStr">
        <is>
          <t>buy100_low_12</t>
        </is>
      </c>
      <c r="B108" t="n">
        <v>103</v>
      </c>
      <c r="C108" t="n">
        <v>499999705</v>
      </c>
      <c r="D108" t="n">
        <v>8</v>
      </c>
      <c r="E108" t="n">
        <v>27.7</v>
      </c>
      <c r="F108" t="n">
        <v>0.2797979797979798</v>
      </c>
      <c r="G108" t="n">
        <v>276612807</v>
      </c>
      <c r="H108" t="n">
        <v>507797139</v>
      </c>
    </row>
    <row r="109">
      <c r="A109" t="inlineStr">
        <is>
          <t>buy100_low_12</t>
        </is>
      </c>
      <c r="B109" t="n">
        <v>104</v>
      </c>
      <c r="C109" t="n">
        <v>749999557</v>
      </c>
      <c r="D109" t="n">
        <v>10</v>
      </c>
      <c r="E109" t="n">
        <v>165.6</v>
      </c>
      <c r="F109" t="n">
        <v>1.672727272727273</v>
      </c>
      <c r="G109" t="n">
        <v>747427970</v>
      </c>
      <c r="H109" t="n">
        <v>915088469</v>
      </c>
    </row>
    <row r="110">
      <c r="A110" t="inlineStr">
        <is>
          <t>buy100_low_12</t>
        </is>
      </c>
      <c r="B110" t="n">
        <v>105</v>
      </c>
      <c r="C110" t="n">
        <v>999999409</v>
      </c>
      <c r="D110" t="n">
        <v>12</v>
      </c>
      <c r="E110" t="n">
        <v>990</v>
      </c>
      <c r="F110" t="n">
        <v>10</v>
      </c>
      <c r="G110" t="n">
        <v>986182786</v>
      </c>
      <c r="H110" t="n">
        <v>999999409</v>
      </c>
    </row>
    <row r="111">
      <c r="A111" t="inlineStr">
        <is>
          <t>buy100_low_13</t>
        </is>
      </c>
      <c r="B111" t="n">
        <v>106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9</v>
      </c>
    </row>
    <row r="112">
      <c r="A112" t="inlineStr">
        <is>
          <t>buy100_low_13</t>
        </is>
      </c>
      <c r="B112" t="n">
        <v>107</v>
      </c>
      <c r="C112" t="n">
        <v>250000033</v>
      </c>
      <c r="D112" t="n">
        <v>9</v>
      </c>
      <c r="E112" t="n">
        <v>15.71</v>
      </c>
      <c r="F112" t="n">
        <v>0.1586868686868687</v>
      </c>
      <c r="G112" t="n">
        <v>185578953</v>
      </c>
      <c r="H112" t="n">
        <v>387854396</v>
      </c>
    </row>
    <row r="113">
      <c r="A113" t="inlineStr">
        <is>
          <t>buy100_low_13</t>
        </is>
      </c>
      <c r="B113" t="n">
        <v>108</v>
      </c>
      <c r="C113" t="n">
        <v>500000066</v>
      </c>
      <c r="D113" t="n">
        <v>10</v>
      </c>
      <c r="E113" t="n">
        <v>41.98</v>
      </c>
      <c r="F113" t="n">
        <v>0.424040404040404</v>
      </c>
      <c r="G113" t="n">
        <v>387854397</v>
      </c>
      <c r="H113" t="n">
        <v>641725338</v>
      </c>
    </row>
    <row r="114">
      <c r="A114" t="inlineStr">
        <is>
          <t>buy100_low_13</t>
        </is>
      </c>
      <c r="B114" t="n">
        <v>109</v>
      </c>
      <c r="C114" t="n">
        <v>750000099</v>
      </c>
      <c r="D114" t="n">
        <v>11</v>
      </c>
      <c r="E114" t="n">
        <v>112.22</v>
      </c>
      <c r="F114" t="n">
        <v>1.133535353535354</v>
      </c>
      <c r="G114" t="n">
        <v>641725339</v>
      </c>
      <c r="H114" t="n">
        <v>858971146</v>
      </c>
    </row>
    <row r="115">
      <c r="A115" t="inlineStr">
        <is>
          <t>buy100_low_13</t>
        </is>
      </c>
      <c r="B115" t="n">
        <v>110</v>
      </c>
      <c r="C115" t="n">
        <v>1000000131</v>
      </c>
      <c r="D115" t="n">
        <v>13</v>
      </c>
      <c r="E115" t="n">
        <v>801.9</v>
      </c>
      <c r="F115" t="n">
        <v>8.1</v>
      </c>
      <c r="G115" t="n">
        <v>972579430</v>
      </c>
      <c r="H115" t="n">
        <v>1000000131</v>
      </c>
    </row>
    <row r="116">
      <c r="A116" t="inlineStr">
        <is>
          <t>buy100_low_14</t>
        </is>
      </c>
      <c r="B116" t="n">
        <v>111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11</v>
      </c>
    </row>
    <row r="117">
      <c r="A117" t="inlineStr">
        <is>
          <t>buy100_low_14</t>
        </is>
      </c>
      <c r="B117" t="n">
        <v>112</v>
      </c>
      <c r="C117" t="n">
        <v>250000145</v>
      </c>
      <c r="D117" t="n">
        <v>10</v>
      </c>
      <c r="E117" t="n">
        <v>10.11</v>
      </c>
      <c r="F117" t="n">
        <v>0.1021212121212121</v>
      </c>
      <c r="G117" t="n">
        <v>137894396</v>
      </c>
      <c r="H117" t="n">
        <v>314550258</v>
      </c>
    </row>
    <row r="118">
      <c r="A118" t="inlineStr">
        <is>
          <t>buy100_low_14</t>
        </is>
      </c>
      <c r="B118" t="n">
        <v>113</v>
      </c>
      <c r="C118" t="n">
        <v>500000291</v>
      </c>
      <c r="D118" t="n">
        <v>11</v>
      </c>
      <c r="E118" t="n">
        <v>29.2</v>
      </c>
      <c r="F118" t="n">
        <v>0.294949494949495</v>
      </c>
      <c r="G118" t="n">
        <v>314550259</v>
      </c>
      <c r="H118" t="n">
        <v>565688892</v>
      </c>
    </row>
    <row r="119">
      <c r="A119" t="inlineStr">
        <is>
          <t>buy100_low_14</t>
        </is>
      </c>
      <c r="B119" t="n">
        <v>114</v>
      </c>
      <c r="C119" t="n">
        <v>750000436</v>
      </c>
      <c r="D119" t="n">
        <v>12</v>
      </c>
      <c r="E119" t="n">
        <v>84.3</v>
      </c>
      <c r="F119" t="n">
        <v>0.8515151515151514</v>
      </c>
      <c r="G119" t="n">
        <v>565688893</v>
      </c>
      <c r="H119" t="n">
        <v>811143789</v>
      </c>
    </row>
    <row r="120">
      <c r="A120" t="inlineStr">
        <is>
          <t>buy100_low_14</t>
        </is>
      </c>
      <c r="B120" t="n">
        <v>115</v>
      </c>
      <c r="C120" t="n">
        <v>1000000581</v>
      </c>
      <c r="D120" t="n">
        <v>14</v>
      </c>
      <c r="E120" t="n">
        <v>702.9</v>
      </c>
      <c r="F120" t="n">
        <v>7.1</v>
      </c>
      <c r="G120" t="n">
        <v>958774433</v>
      </c>
      <c r="H120" t="n">
        <v>1000000581</v>
      </c>
    </row>
    <row r="121">
      <c r="A121" t="inlineStr">
        <is>
          <t>buy100_low_15</t>
        </is>
      </c>
      <c r="B121" t="n">
        <v>116</v>
      </c>
      <c r="C121" t="n">
        <v>0</v>
      </c>
      <c r="D121" t="n">
        <v>0</v>
      </c>
      <c r="E121" t="n">
        <v>0.02</v>
      </c>
      <c r="F121" t="n">
        <v>0.000202020202020202</v>
      </c>
      <c r="G121" t="n">
        <v>0</v>
      </c>
      <c r="H121" t="n">
        <v>37</v>
      </c>
    </row>
    <row r="122">
      <c r="A122" t="inlineStr">
        <is>
          <t>buy100_low_15</t>
        </is>
      </c>
      <c r="B122" t="n">
        <v>117</v>
      </c>
      <c r="C122" t="n">
        <v>250000334</v>
      </c>
      <c r="D122" t="n">
        <v>9</v>
      </c>
      <c r="E122" t="n">
        <v>17.54</v>
      </c>
      <c r="F122" t="n">
        <v>0.1771717171717172</v>
      </c>
      <c r="G122" t="n">
        <v>172742611</v>
      </c>
      <c r="H122" t="n">
        <v>340028438</v>
      </c>
    </row>
    <row r="123">
      <c r="A123" t="inlineStr">
        <is>
          <t>buy100_low_15</t>
        </is>
      </c>
      <c r="B123" t="n">
        <v>118</v>
      </c>
      <c r="C123" t="n">
        <v>500000669</v>
      </c>
      <c r="D123" t="n">
        <v>10</v>
      </c>
      <c r="E123" t="n">
        <v>36.75</v>
      </c>
      <c r="F123" t="n">
        <v>0.3712121212121212</v>
      </c>
      <c r="G123" t="n">
        <v>340028439</v>
      </c>
      <c r="H123" t="n">
        <v>553082324</v>
      </c>
    </row>
    <row r="124">
      <c r="A124" t="inlineStr">
        <is>
          <t>buy100_low_15</t>
        </is>
      </c>
      <c r="B124" t="n">
        <v>119</v>
      </c>
      <c r="C124" t="n">
        <v>750001003</v>
      </c>
      <c r="D124" t="n">
        <v>11</v>
      </c>
      <c r="E124" t="n">
        <v>77.01000000000001</v>
      </c>
      <c r="F124" t="n">
        <v>0.7778787878787879</v>
      </c>
      <c r="G124" t="n">
        <v>553082325</v>
      </c>
      <c r="H124" t="n">
        <v>758645747</v>
      </c>
    </row>
    <row r="125">
      <c r="A125" t="inlineStr">
        <is>
          <t>buy100_low_15</t>
        </is>
      </c>
      <c r="B125" t="n">
        <v>120</v>
      </c>
      <c r="C125" t="n">
        <v>1000001337</v>
      </c>
      <c r="D125" t="n">
        <v>15</v>
      </c>
      <c r="E125" t="n">
        <v>1485</v>
      </c>
      <c r="F125" t="n">
        <v>15</v>
      </c>
      <c r="G125" t="n">
        <v>996942763</v>
      </c>
      <c r="H125" t="n">
        <v>1000001337</v>
      </c>
    </row>
    <row r="126">
      <c r="A126" t="inlineStr">
        <is>
          <t>buy100_low_16</t>
        </is>
      </c>
      <c r="B126" t="n">
        <v>121</v>
      </c>
      <c r="C126" t="n">
        <v>0</v>
      </c>
      <c r="D126" t="n">
        <v>0</v>
      </c>
      <c r="E126" t="n">
        <v>0.02</v>
      </c>
      <c r="F126" t="n">
        <v>0.000202020202020202</v>
      </c>
      <c r="G126" t="n">
        <v>0</v>
      </c>
      <c r="H126" t="n">
        <v>9</v>
      </c>
    </row>
    <row r="127">
      <c r="A127" t="inlineStr">
        <is>
          <t>buy100_low_16</t>
        </is>
      </c>
      <c r="B127" t="n">
        <v>122</v>
      </c>
      <c r="C127" t="n">
        <v>250000096</v>
      </c>
      <c r="D127" t="n">
        <v>10</v>
      </c>
      <c r="E127" t="n">
        <v>21.54</v>
      </c>
      <c r="F127" t="n">
        <v>0.2175757575757576</v>
      </c>
      <c r="G127" t="n">
        <v>213071118</v>
      </c>
      <c r="H127" t="n">
        <v>391194988</v>
      </c>
    </row>
    <row r="128">
      <c r="A128" t="inlineStr">
        <is>
          <t>buy100_low_16</t>
        </is>
      </c>
      <c r="B128" t="n">
        <v>123</v>
      </c>
      <c r="C128" t="n">
        <v>500000192</v>
      </c>
      <c r="D128" t="n">
        <v>11</v>
      </c>
      <c r="E128" t="n">
        <v>44.09</v>
      </c>
      <c r="F128" t="n">
        <v>0.4453535353535354</v>
      </c>
      <c r="G128" t="n">
        <v>391194989</v>
      </c>
      <c r="H128" t="n">
        <v>602258412</v>
      </c>
    </row>
    <row r="129">
      <c r="A129" t="inlineStr">
        <is>
          <t>buy100_low_16</t>
        </is>
      </c>
      <c r="B129" t="n">
        <v>124</v>
      </c>
      <c r="C129" t="n">
        <v>750000288</v>
      </c>
      <c r="D129" t="n">
        <v>12</v>
      </c>
      <c r="E129" t="n">
        <v>90.23999999999999</v>
      </c>
      <c r="F129" t="n">
        <v>0.9115151515151515</v>
      </c>
      <c r="G129" t="n">
        <v>602258413</v>
      </c>
      <c r="H129" t="n">
        <v>793302687</v>
      </c>
    </row>
    <row r="130">
      <c r="A130" t="inlineStr">
        <is>
          <t>buy100_low_16</t>
        </is>
      </c>
      <c r="B130" t="n">
        <v>125</v>
      </c>
      <c r="C130" t="n">
        <v>1000000383</v>
      </c>
      <c r="D130" t="n">
        <v>16</v>
      </c>
      <c r="E130" t="n">
        <v>1584</v>
      </c>
      <c r="F130" t="n">
        <v>16</v>
      </c>
      <c r="G130" t="n">
        <v>997662286</v>
      </c>
      <c r="H130" t="n">
        <v>1000000383</v>
      </c>
    </row>
    <row r="131">
      <c r="A131" t="inlineStr">
        <is>
          <t>buy100_low_8</t>
        </is>
      </c>
      <c r="B131" t="n">
        <v>126</v>
      </c>
      <c r="C131" t="n">
        <v>0</v>
      </c>
      <c r="D131" t="n">
        <v>0</v>
      </c>
      <c r="E131" t="n">
        <v>0.01</v>
      </c>
      <c r="F131" t="n">
        <v>0.000101010101010101</v>
      </c>
      <c r="G131" t="n">
        <v>0</v>
      </c>
      <c r="H131" t="n">
        <v>25770</v>
      </c>
    </row>
    <row r="132">
      <c r="A132" t="inlineStr">
        <is>
          <t>buy100_low_8</t>
        </is>
      </c>
      <c r="B132" t="n">
        <v>127</v>
      </c>
      <c r="C132" t="n">
        <v>250000071</v>
      </c>
      <c r="D132" t="n">
        <v>5</v>
      </c>
      <c r="E132" t="n">
        <v>9.630000000000001</v>
      </c>
      <c r="F132" t="n">
        <v>0.09727272727272727</v>
      </c>
      <c r="G132" t="n">
        <v>138553173</v>
      </c>
      <c r="H132" t="n">
        <v>364028644</v>
      </c>
    </row>
    <row r="133">
      <c r="A133" t="inlineStr">
        <is>
          <t>buy100_low_8</t>
        </is>
      </c>
      <c r="B133" t="n">
        <v>128</v>
      </c>
      <c r="C133" t="n">
        <v>500000142</v>
      </c>
      <c r="D133" t="n">
        <v>6</v>
      </c>
      <c r="E133" t="n">
        <v>37.19</v>
      </c>
      <c r="F133" t="n">
        <v>0.3756565656565656</v>
      </c>
      <c r="G133" t="n">
        <v>364028645</v>
      </c>
      <c r="H133" t="n">
        <v>673647040</v>
      </c>
    </row>
    <row r="134">
      <c r="A134" t="inlineStr">
        <is>
          <t>buy100_low_8</t>
        </is>
      </c>
      <c r="B134" t="n">
        <v>129</v>
      </c>
      <c r="C134" t="n">
        <v>750000213</v>
      </c>
      <c r="D134" t="n">
        <v>7</v>
      </c>
      <c r="E134" t="n">
        <v>143.6</v>
      </c>
      <c r="F134" t="n">
        <v>1.450505050505051</v>
      </c>
      <c r="G134" t="n">
        <v>673647041</v>
      </c>
      <c r="H134" t="n">
        <v>916596625</v>
      </c>
    </row>
    <row r="135">
      <c r="A135" t="inlineStr">
        <is>
          <t>buy100_low_8</t>
        </is>
      </c>
      <c r="B135" t="n">
        <v>130</v>
      </c>
      <c r="C135" t="n">
        <v>1000000284</v>
      </c>
      <c r="D135" t="n">
        <v>8</v>
      </c>
      <c r="E135" t="n">
        <v>554.4</v>
      </c>
      <c r="F135" t="n">
        <v>5.6</v>
      </c>
      <c r="G135" t="n">
        <v>916596626</v>
      </c>
      <c r="H135" t="n">
        <v>1000000284</v>
      </c>
    </row>
    <row r="136">
      <c r="A136" t="inlineStr">
        <is>
          <t>buy100_low_9</t>
        </is>
      </c>
      <c r="B136" t="n">
        <v>131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2791</v>
      </c>
    </row>
    <row r="137">
      <c r="A137" t="inlineStr">
        <is>
          <t>buy100_low_9</t>
        </is>
      </c>
      <c r="B137" t="n">
        <v>132</v>
      </c>
      <c r="C137" t="n">
        <v>249998341</v>
      </c>
      <c r="D137" t="n">
        <v>6</v>
      </c>
      <c r="E137" t="n">
        <v>10.12</v>
      </c>
      <c r="F137" t="n">
        <v>0.1022222222222222</v>
      </c>
      <c r="G137" t="n">
        <v>150161989</v>
      </c>
      <c r="H137" t="n">
        <v>375438183</v>
      </c>
    </row>
    <row r="138">
      <c r="A138" t="inlineStr">
        <is>
          <t>buy100_low_9</t>
        </is>
      </c>
      <c r="B138" t="n">
        <v>133</v>
      </c>
      <c r="C138" t="n">
        <v>499996683</v>
      </c>
      <c r="D138" t="n">
        <v>7</v>
      </c>
      <c r="E138" t="n">
        <v>38.43</v>
      </c>
      <c r="F138" t="n">
        <v>0.3881818181818182</v>
      </c>
      <c r="G138" t="n">
        <v>375438184</v>
      </c>
      <c r="H138" t="n">
        <v>678712843</v>
      </c>
    </row>
    <row r="139">
      <c r="A139" t="inlineStr">
        <is>
          <t>buy100_low_9</t>
        </is>
      </c>
      <c r="B139" t="n">
        <v>134</v>
      </c>
      <c r="C139" t="n">
        <v>749995025</v>
      </c>
      <c r="D139" t="n">
        <v>8</v>
      </c>
      <c r="E139" t="n">
        <v>145.96</v>
      </c>
      <c r="F139" t="n">
        <v>1.474343434343435</v>
      </c>
      <c r="G139" t="n">
        <v>678712844</v>
      </c>
      <c r="H139" t="n">
        <v>916875540</v>
      </c>
    </row>
    <row r="140">
      <c r="A140" t="inlineStr">
        <is>
          <t>buy100_low_9</t>
        </is>
      </c>
      <c r="B140" t="n">
        <v>135</v>
      </c>
      <c r="C140" t="n">
        <v>999993366</v>
      </c>
      <c r="D140" t="n">
        <v>9</v>
      </c>
      <c r="E140" t="n">
        <v>554.4</v>
      </c>
      <c r="F140" t="n">
        <v>5.6</v>
      </c>
      <c r="G140" t="n">
        <v>916875541</v>
      </c>
      <c r="H140" t="n">
        <v>999993366</v>
      </c>
    </row>
    <row r="141">
      <c r="A141" t="inlineStr">
        <is>
          <t>buy100_medium_10</t>
        </is>
      </c>
      <c r="B141" t="n">
        <v>136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2579</v>
      </c>
    </row>
    <row r="142">
      <c r="A142" t="inlineStr">
        <is>
          <t>buy100_medium_10</t>
        </is>
      </c>
      <c r="B142" t="n">
        <v>137</v>
      </c>
      <c r="C142" t="n">
        <v>250000062</v>
      </c>
      <c r="D142" t="n">
        <v>6</v>
      </c>
      <c r="E142" t="n">
        <v>0</v>
      </c>
      <c r="F142" t="n">
        <v>0</v>
      </c>
      <c r="G142" t="n">
        <v>112449448</v>
      </c>
      <c r="H142" t="n">
        <v>288131784</v>
      </c>
    </row>
    <row r="143">
      <c r="A143" t="inlineStr">
        <is>
          <t>buy100_medium_10</t>
        </is>
      </c>
      <c r="B143" t="n">
        <v>138</v>
      </c>
      <c r="C143" t="n">
        <v>500000125</v>
      </c>
      <c r="D143" t="n">
        <v>7</v>
      </c>
      <c r="E143" t="n">
        <v>0.04</v>
      </c>
      <c r="F143" t="n">
        <v>0.000404040404040404</v>
      </c>
      <c r="G143" t="n">
        <v>288131785</v>
      </c>
      <c r="H143" t="n">
        <v>551257679</v>
      </c>
    </row>
    <row r="144">
      <c r="A144" t="inlineStr">
        <is>
          <t>buy100_medium_10</t>
        </is>
      </c>
      <c r="B144" t="n">
        <v>139</v>
      </c>
      <c r="C144" t="n">
        <v>750000188</v>
      </c>
      <c r="D144" t="n">
        <v>8</v>
      </c>
      <c r="E144" t="n">
        <v>1.53</v>
      </c>
      <c r="F144" t="n">
        <v>0.01545454545454546</v>
      </c>
      <c r="G144" t="n">
        <v>551257680</v>
      </c>
      <c r="H144" t="n">
        <v>809881425</v>
      </c>
    </row>
    <row r="145">
      <c r="A145" t="inlineStr">
        <is>
          <t>buy100_medium_10</t>
        </is>
      </c>
      <c r="B145" t="n">
        <v>140</v>
      </c>
      <c r="C145" t="n">
        <v>1000000250</v>
      </c>
      <c r="D145" t="n">
        <v>10</v>
      </c>
      <c r="E145" t="n">
        <v>2178</v>
      </c>
      <c r="F145" t="n">
        <v>22</v>
      </c>
      <c r="G145" t="n">
        <v>960517652</v>
      </c>
      <c r="H145" t="n">
        <v>1000000250</v>
      </c>
    </row>
    <row r="146">
      <c r="A146" t="inlineStr">
        <is>
          <t>buy100_medium_11</t>
        </is>
      </c>
      <c r="B146" t="n">
        <v>141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374</v>
      </c>
    </row>
    <row r="147">
      <c r="A147" t="inlineStr">
        <is>
          <t>buy100_medium_11</t>
        </is>
      </c>
      <c r="B147" t="n">
        <v>142</v>
      </c>
      <c r="C147" t="n">
        <v>249999959</v>
      </c>
      <c r="D147" t="n">
        <v>7</v>
      </c>
      <c r="E147" t="n">
        <v>0</v>
      </c>
      <c r="F147" t="n">
        <v>0</v>
      </c>
      <c r="G147" t="n">
        <v>132157137</v>
      </c>
      <c r="H147" t="n">
        <v>315920394</v>
      </c>
    </row>
    <row r="148">
      <c r="A148" t="inlineStr">
        <is>
          <t>buy100_medium_11</t>
        </is>
      </c>
      <c r="B148" t="n">
        <v>143</v>
      </c>
      <c r="C148" t="n">
        <v>499999919</v>
      </c>
      <c r="D148" t="n">
        <v>8</v>
      </c>
      <c r="E148" t="n">
        <v>0.04</v>
      </c>
      <c r="F148" t="n">
        <v>0.000404040404040404</v>
      </c>
      <c r="G148" t="n">
        <v>315920395</v>
      </c>
      <c r="H148" t="n">
        <v>576779629</v>
      </c>
    </row>
    <row r="149">
      <c r="A149" t="inlineStr">
        <is>
          <t>buy100_medium_11</t>
        </is>
      </c>
      <c r="B149" t="n">
        <v>144</v>
      </c>
      <c r="C149" t="n">
        <v>749999879</v>
      </c>
      <c r="D149" t="n">
        <v>9</v>
      </c>
      <c r="E149" t="n">
        <v>1.63</v>
      </c>
      <c r="F149" t="n">
        <v>0.01646464646464646</v>
      </c>
      <c r="G149" t="n">
        <v>576779630</v>
      </c>
      <c r="H149" t="n">
        <v>823646317</v>
      </c>
    </row>
    <row r="150">
      <c r="A150" t="inlineStr">
        <is>
          <t>buy100_medium_11</t>
        </is>
      </c>
      <c r="B150" t="n">
        <v>145</v>
      </c>
      <c r="C150" t="n">
        <v>999999838</v>
      </c>
      <c r="D150" t="n">
        <v>11</v>
      </c>
      <c r="E150" t="n">
        <v>2376</v>
      </c>
      <c r="F150" t="n">
        <v>24</v>
      </c>
      <c r="G150" t="n">
        <v>963821141</v>
      </c>
      <c r="H150" t="n">
        <v>999999838</v>
      </c>
    </row>
    <row r="151">
      <c r="A151" t="inlineStr">
        <is>
          <t>buy100_medium_12</t>
        </is>
      </c>
      <c r="B151" t="n">
        <v>146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102</v>
      </c>
    </row>
    <row r="152">
      <c r="A152" t="inlineStr">
        <is>
          <t>buy100_medium_12</t>
        </is>
      </c>
      <c r="B152" t="n">
        <v>147</v>
      </c>
      <c r="C152" t="n">
        <v>250000006</v>
      </c>
      <c r="D152" t="n">
        <v>8</v>
      </c>
      <c r="E152" t="n">
        <v>0</v>
      </c>
      <c r="F152" t="n">
        <v>0</v>
      </c>
      <c r="G152" t="n">
        <v>182433126</v>
      </c>
      <c r="H152" t="n">
        <v>387279501</v>
      </c>
    </row>
    <row r="153">
      <c r="A153" t="inlineStr">
        <is>
          <t>buy100_medium_12</t>
        </is>
      </c>
      <c r="B153" t="n">
        <v>148</v>
      </c>
      <c r="C153" t="n">
        <v>500000013</v>
      </c>
      <c r="D153" t="n">
        <v>9</v>
      </c>
      <c r="E153" t="n">
        <v>0.05</v>
      </c>
      <c r="F153" t="n">
        <v>0.0005050505050505051</v>
      </c>
      <c r="G153" t="n">
        <v>387279502</v>
      </c>
      <c r="H153" t="n">
        <v>644301917</v>
      </c>
    </row>
    <row r="154">
      <c r="A154" t="inlineStr">
        <is>
          <t>buy100_medium_12</t>
        </is>
      </c>
      <c r="B154" t="n">
        <v>149</v>
      </c>
      <c r="C154" t="n">
        <v>750000019</v>
      </c>
      <c r="D154" t="n">
        <v>10</v>
      </c>
      <c r="E154" t="n">
        <v>1.89</v>
      </c>
      <c r="F154" t="n">
        <v>0.01909090909090909</v>
      </c>
      <c r="G154" t="n">
        <v>644301918</v>
      </c>
      <c r="H154" t="n">
        <v>861981396</v>
      </c>
    </row>
    <row r="155">
      <c r="A155" t="inlineStr">
        <is>
          <t>buy100_medium_12</t>
        </is>
      </c>
      <c r="B155" t="n">
        <v>150</v>
      </c>
      <c r="C155" t="n">
        <v>1000000025</v>
      </c>
      <c r="D155" t="n">
        <v>12</v>
      </c>
      <c r="E155" t="n">
        <v>3267</v>
      </c>
      <c r="F155" t="n">
        <v>33</v>
      </c>
      <c r="G155" t="n">
        <v>973714030</v>
      </c>
      <c r="H155" t="n">
        <v>1000000025</v>
      </c>
    </row>
    <row r="156">
      <c r="A156" t="inlineStr">
        <is>
          <t>buy100_medium_13</t>
        </is>
      </c>
      <c r="B156" t="n">
        <v>151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24</v>
      </c>
    </row>
    <row r="157">
      <c r="A157" t="inlineStr">
        <is>
          <t>buy100_medium_13</t>
        </is>
      </c>
      <c r="B157" t="n">
        <v>152</v>
      </c>
      <c r="C157" t="n">
        <v>250000009</v>
      </c>
      <c r="D157" t="n">
        <v>9</v>
      </c>
      <c r="E157" t="n">
        <v>0</v>
      </c>
      <c r="F157" t="n">
        <v>0</v>
      </c>
      <c r="G157" t="n">
        <v>232173424</v>
      </c>
      <c r="H157" t="n">
        <v>449670958</v>
      </c>
    </row>
    <row r="158">
      <c r="A158" t="inlineStr">
        <is>
          <t>buy100_medium_13</t>
        </is>
      </c>
      <c r="B158" t="n">
        <v>153</v>
      </c>
      <c r="C158" t="n">
        <v>500000019</v>
      </c>
      <c r="D158" t="n">
        <v>10</v>
      </c>
      <c r="E158" t="n">
        <v>0.07000000000000001</v>
      </c>
      <c r="F158" t="n">
        <v>0.0007070707070707072</v>
      </c>
      <c r="G158" t="n">
        <v>449670959</v>
      </c>
      <c r="H158" t="n">
        <v>697127582</v>
      </c>
    </row>
    <row r="159">
      <c r="A159" t="inlineStr">
        <is>
          <t>buy100_medium_13</t>
        </is>
      </c>
      <c r="B159" t="n">
        <v>154</v>
      </c>
      <c r="C159" t="n">
        <v>750000029</v>
      </c>
      <c r="D159" t="n">
        <v>11</v>
      </c>
      <c r="E159" t="n">
        <v>2.72</v>
      </c>
      <c r="F159" t="n">
        <v>0.02747474747474748</v>
      </c>
      <c r="G159" t="n">
        <v>697127583</v>
      </c>
      <c r="H159" t="n">
        <v>889088318</v>
      </c>
    </row>
    <row r="160">
      <c r="A160" t="inlineStr">
        <is>
          <t>buy100_medium_13</t>
        </is>
      </c>
      <c r="B160" t="n">
        <v>155</v>
      </c>
      <c r="C160" t="n">
        <v>1000000038</v>
      </c>
      <c r="D160" t="n">
        <v>13</v>
      </c>
      <c r="E160" t="n">
        <v>4257</v>
      </c>
      <c r="F160" t="n">
        <v>43</v>
      </c>
      <c r="G160" t="n">
        <v>980089265</v>
      </c>
      <c r="H160" t="n">
        <v>1000000038</v>
      </c>
    </row>
    <row r="161">
      <c r="A161" t="inlineStr">
        <is>
          <t>buy100_medium_14</t>
        </is>
      </c>
      <c r="B161" t="n">
        <v>156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18</v>
      </c>
    </row>
    <row r="162">
      <c r="A162" t="inlineStr">
        <is>
          <t>buy100_medium_14</t>
        </is>
      </c>
      <c r="B162" t="n">
        <v>157</v>
      </c>
      <c r="C162" t="n">
        <v>250000021</v>
      </c>
      <c r="D162" t="n">
        <v>9</v>
      </c>
      <c r="E162" t="n">
        <v>0.05</v>
      </c>
      <c r="F162" t="n">
        <v>0.0005050505050505051</v>
      </c>
      <c r="G162" t="n">
        <v>173651245</v>
      </c>
      <c r="H162" t="n">
        <v>353607709</v>
      </c>
    </row>
    <row r="163">
      <c r="A163" t="inlineStr">
        <is>
          <t>buy100_medium_14</t>
        </is>
      </c>
      <c r="B163" t="n">
        <v>158</v>
      </c>
      <c r="C163" t="n">
        <v>500000042</v>
      </c>
      <c r="D163" t="n">
        <v>10</v>
      </c>
      <c r="E163" t="n">
        <v>0.48</v>
      </c>
      <c r="F163" t="n">
        <v>0.004848484848484848</v>
      </c>
      <c r="G163" t="n">
        <v>353607710</v>
      </c>
      <c r="H163" t="n">
        <v>584029644</v>
      </c>
    </row>
    <row r="164">
      <c r="A164" t="inlineStr">
        <is>
          <t>buy100_medium_14</t>
        </is>
      </c>
      <c r="B164" t="n">
        <v>159</v>
      </c>
      <c r="C164" t="n">
        <v>750000063</v>
      </c>
      <c r="D164" t="n">
        <v>11</v>
      </c>
      <c r="E164" t="n">
        <v>5.06</v>
      </c>
      <c r="F164" t="n">
        <v>0.05111111111111111</v>
      </c>
      <c r="G164" t="n">
        <v>584029645</v>
      </c>
      <c r="H164" t="n">
        <v>798603838</v>
      </c>
    </row>
    <row r="165">
      <c r="A165" t="inlineStr">
        <is>
          <t>buy100_medium_14</t>
        </is>
      </c>
      <c r="B165" t="n">
        <v>160</v>
      </c>
      <c r="C165" t="n">
        <v>1000000084</v>
      </c>
      <c r="D165" t="n">
        <v>14</v>
      </c>
      <c r="E165" t="n">
        <v>5742</v>
      </c>
      <c r="F165" t="n">
        <v>58</v>
      </c>
      <c r="G165" t="n">
        <v>990100001</v>
      </c>
      <c r="H165" t="n">
        <v>1000000084</v>
      </c>
    </row>
    <row r="166">
      <c r="A166" t="inlineStr">
        <is>
          <t>buy100_medium_15</t>
        </is>
      </c>
      <c r="B166" t="n">
        <v>161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19</v>
      </c>
    </row>
    <row r="167">
      <c r="A167" t="inlineStr">
        <is>
          <t>buy100_medium_15</t>
        </is>
      </c>
      <c r="B167" t="n">
        <v>162</v>
      </c>
      <c r="C167" t="n">
        <v>250000010</v>
      </c>
      <c r="D167" t="n">
        <v>9</v>
      </c>
      <c r="E167" t="n">
        <v>0.11</v>
      </c>
      <c r="F167" t="n">
        <v>0.001111111111111111</v>
      </c>
      <c r="G167" t="n">
        <v>144734103</v>
      </c>
      <c r="H167" t="n">
        <v>299172014</v>
      </c>
    </row>
    <row r="168">
      <c r="A168" t="inlineStr">
        <is>
          <t>buy100_medium_15</t>
        </is>
      </c>
      <c r="B168" t="n">
        <v>163</v>
      </c>
      <c r="C168" t="n">
        <v>500000021</v>
      </c>
      <c r="D168" t="n">
        <v>10</v>
      </c>
      <c r="E168" t="n">
        <v>0.73</v>
      </c>
      <c r="F168" t="n">
        <v>0.007373737373737374</v>
      </c>
      <c r="G168" t="n">
        <v>299172015</v>
      </c>
      <c r="H168" t="n">
        <v>508369774</v>
      </c>
    </row>
    <row r="169">
      <c r="A169" t="inlineStr">
        <is>
          <t>buy100_medium_15</t>
        </is>
      </c>
      <c r="B169" t="n">
        <v>164</v>
      </c>
      <c r="C169" t="n">
        <v>750000031</v>
      </c>
      <c r="D169" t="n">
        <v>12</v>
      </c>
      <c r="E169" t="n">
        <v>31.11</v>
      </c>
      <c r="F169" t="n">
        <v>0.3142424242424242</v>
      </c>
      <c r="G169" t="n">
        <v>723047115</v>
      </c>
      <c r="H169" t="n">
        <v>884600777</v>
      </c>
    </row>
    <row r="170">
      <c r="A170" t="inlineStr">
        <is>
          <t>buy100_medium_15</t>
        </is>
      </c>
      <c r="B170" t="n">
        <v>165</v>
      </c>
      <c r="C170" t="n">
        <v>1000000041</v>
      </c>
      <c r="D170" t="n">
        <v>15</v>
      </c>
      <c r="E170" t="n">
        <v>8712</v>
      </c>
      <c r="F170" t="n">
        <v>88</v>
      </c>
      <c r="G170" t="n">
        <v>995914352</v>
      </c>
      <c r="H170" t="n">
        <v>1000000041</v>
      </c>
    </row>
    <row r="171">
      <c r="A171" t="inlineStr">
        <is>
          <t>buy100_medium_16</t>
        </is>
      </c>
      <c r="B171" t="n">
        <v>166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8</v>
      </c>
    </row>
    <row r="172">
      <c r="A172" t="inlineStr">
        <is>
          <t>buy100_medium_16</t>
        </is>
      </c>
      <c r="B172" t="n">
        <v>167</v>
      </c>
      <c r="C172" t="n">
        <v>250000035</v>
      </c>
      <c r="D172" t="n">
        <v>10</v>
      </c>
      <c r="E172" t="n">
        <v>0.43</v>
      </c>
      <c r="F172" t="n">
        <v>0.004343434343434344</v>
      </c>
      <c r="G172" t="n">
        <v>210977858</v>
      </c>
      <c r="H172" t="n">
        <v>388461494</v>
      </c>
    </row>
    <row r="173">
      <c r="A173" t="inlineStr">
        <is>
          <t>buy100_medium_16</t>
        </is>
      </c>
      <c r="B173" t="n">
        <v>168</v>
      </c>
      <c r="C173" t="n">
        <v>500000071</v>
      </c>
      <c r="D173" t="n">
        <v>11</v>
      </c>
      <c r="E173" t="n">
        <v>2.32</v>
      </c>
      <c r="F173" t="n">
        <v>0.02343434343434343</v>
      </c>
      <c r="G173" t="n">
        <v>388461495</v>
      </c>
      <c r="H173" t="n">
        <v>599554206</v>
      </c>
    </row>
    <row r="174">
      <c r="A174" t="inlineStr">
        <is>
          <t>buy100_medium_16</t>
        </is>
      </c>
      <c r="B174" t="n">
        <v>169</v>
      </c>
      <c r="C174" t="n">
        <v>750000106</v>
      </c>
      <c r="D174" t="n">
        <v>12</v>
      </c>
      <c r="E174" t="n">
        <v>12.59</v>
      </c>
      <c r="F174" t="n">
        <v>0.1271717171717172</v>
      </c>
      <c r="G174" t="n">
        <v>599554207</v>
      </c>
      <c r="H174" t="n">
        <v>791340847</v>
      </c>
    </row>
    <row r="175">
      <c r="A175" t="inlineStr">
        <is>
          <t>buy100_medium_16</t>
        </is>
      </c>
      <c r="B175" t="n">
        <v>170</v>
      </c>
      <c r="C175" t="n">
        <v>1000000141</v>
      </c>
      <c r="D175" t="n">
        <v>16</v>
      </c>
      <c r="E175" t="n">
        <v>10890</v>
      </c>
      <c r="F175" t="n">
        <v>110</v>
      </c>
      <c r="G175" t="n">
        <v>997617831</v>
      </c>
      <c r="H175" t="n">
        <v>1000000141</v>
      </c>
    </row>
    <row r="176">
      <c r="A176" t="inlineStr">
        <is>
          <t>buy100_medium_8</t>
        </is>
      </c>
      <c r="B176" t="n">
        <v>171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45654</v>
      </c>
    </row>
    <row r="177">
      <c r="A177" t="inlineStr">
        <is>
          <t>buy100_medium_8</t>
        </is>
      </c>
      <c r="B177" t="n">
        <v>172</v>
      </c>
      <c r="C177" t="n">
        <v>249999827</v>
      </c>
      <c r="D177" t="n">
        <v>5</v>
      </c>
      <c r="E177" t="n">
        <v>0.04</v>
      </c>
      <c r="F177" t="n">
        <v>0.000404040404040404</v>
      </c>
      <c r="G177" t="n">
        <v>170676084</v>
      </c>
      <c r="H177" t="n">
        <v>414367654</v>
      </c>
    </row>
    <row r="178">
      <c r="A178" t="inlineStr">
        <is>
          <t>buy100_medium_8</t>
        </is>
      </c>
      <c r="B178" t="n">
        <v>173</v>
      </c>
      <c r="C178" t="n">
        <v>499999655</v>
      </c>
      <c r="D178" t="n">
        <v>6</v>
      </c>
      <c r="E178" t="n">
        <v>1.2</v>
      </c>
      <c r="F178" t="n">
        <v>0.01212121212121212</v>
      </c>
      <c r="G178" t="n">
        <v>414367655</v>
      </c>
      <c r="H178" t="n">
        <v>717507705</v>
      </c>
    </row>
    <row r="179">
      <c r="A179" t="inlineStr">
        <is>
          <t>buy100_medium_8</t>
        </is>
      </c>
      <c r="B179" t="n">
        <v>174</v>
      </c>
      <c r="C179" t="n">
        <v>749999483</v>
      </c>
      <c r="D179" t="n">
        <v>7</v>
      </c>
      <c r="E179" t="n">
        <v>39.32</v>
      </c>
      <c r="F179" t="n">
        <v>0.3971717171717172</v>
      </c>
      <c r="G179" t="n">
        <v>717507706</v>
      </c>
      <c r="H179" t="n">
        <v>932988258</v>
      </c>
    </row>
    <row r="180">
      <c r="A180" t="inlineStr">
        <is>
          <t>buy100_medium_8</t>
        </is>
      </c>
      <c r="B180" t="n">
        <v>175</v>
      </c>
      <c r="C180" t="n">
        <v>999999310</v>
      </c>
      <c r="D180" t="n">
        <v>8</v>
      </c>
      <c r="E180" t="n">
        <v>1287</v>
      </c>
      <c r="F180" t="n">
        <v>13</v>
      </c>
      <c r="G180" t="n">
        <v>932988259</v>
      </c>
      <c r="H180" t="n">
        <v>999999310</v>
      </c>
    </row>
    <row r="181">
      <c r="A181" t="inlineStr">
        <is>
          <t>buy100_medium_9</t>
        </is>
      </c>
      <c r="B181" t="n">
        <v>176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12752</v>
      </c>
    </row>
    <row r="182">
      <c r="A182" t="inlineStr">
        <is>
          <t>buy100_medium_9</t>
        </is>
      </c>
      <c r="B182" t="n">
        <v>177</v>
      </c>
      <c r="C182" t="n">
        <v>249999813</v>
      </c>
      <c r="D182" t="n">
        <v>6</v>
      </c>
      <c r="E182" t="n">
        <v>0.04</v>
      </c>
      <c r="F182" t="n">
        <v>0.000404040404040404</v>
      </c>
      <c r="G182" t="n">
        <v>238728553</v>
      </c>
      <c r="H182" t="n">
        <v>499016918</v>
      </c>
    </row>
    <row r="183">
      <c r="A183" t="inlineStr">
        <is>
          <t>buy100_medium_9</t>
        </is>
      </c>
      <c r="B183" t="n">
        <v>178</v>
      </c>
      <c r="C183" t="n">
        <v>499999626</v>
      </c>
      <c r="D183" t="n">
        <v>7</v>
      </c>
      <c r="E183" t="n">
        <v>1.38</v>
      </c>
      <c r="F183" t="n">
        <v>0.01393939393939394</v>
      </c>
      <c r="G183" t="n">
        <v>499016919</v>
      </c>
      <c r="H183" t="n">
        <v>777675538</v>
      </c>
    </row>
    <row r="184">
      <c r="A184" t="inlineStr">
        <is>
          <t>buy100_medium_9</t>
        </is>
      </c>
      <c r="B184" t="n">
        <v>179</v>
      </c>
      <c r="C184" t="n">
        <v>749999439</v>
      </c>
      <c r="D184" t="n">
        <v>7</v>
      </c>
      <c r="E184" t="n">
        <v>1.38</v>
      </c>
      <c r="F184" t="n">
        <v>0.01393939393939394</v>
      </c>
      <c r="G184" t="n">
        <v>499016919</v>
      </c>
      <c r="H184" t="n">
        <v>777675538</v>
      </c>
    </row>
    <row r="185">
      <c r="A185" t="inlineStr">
        <is>
          <t>buy100_medium_9</t>
        </is>
      </c>
      <c r="B185" t="n">
        <v>180</v>
      </c>
      <c r="C185" t="n">
        <v>999999252</v>
      </c>
      <c r="D185" t="n">
        <v>9</v>
      </c>
      <c r="E185" t="n">
        <v>1782</v>
      </c>
      <c r="F185" t="n">
        <v>18</v>
      </c>
      <c r="G185" t="n">
        <v>951698680</v>
      </c>
      <c r="H185" t="n">
        <v>999999252</v>
      </c>
    </row>
    <row r="186">
      <c r="A186" t="inlineStr">
        <is>
          <t>normal_expert_10</t>
        </is>
      </c>
      <c r="B186" t="n">
        <v>181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2071537</v>
      </c>
    </row>
    <row r="187">
      <c r="A187" t="inlineStr">
        <is>
          <t>normal_expert_10</t>
        </is>
      </c>
      <c r="B187" t="n">
        <v>182</v>
      </c>
      <c r="C187" t="n">
        <v>250000006</v>
      </c>
      <c r="D187" t="n">
        <v>4</v>
      </c>
      <c r="E187" t="n">
        <v>0</v>
      </c>
      <c r="F187" t="n">
        <v>0</v>
      </c>
      <c r="G187" t="n">
        <v>243383668</v>
      </c>
      <c r="H187" t="n">
        <v>475983383</v>
      </c>
    </row>
    <row r="188">
      <c r="A188" t="inlineStr">
        <is>
          <t>normal_expert_10</t>
        </is>
      </c>
      <c r="B188" t="n">
        <v>183</v>
      </c>
      <c r="C188" t="n">
        <v>500000012</v>
      </c>
      <c r="D188" t="n">
        <v>5</v>
      </c>
      <c r="E188" t="n">
        <v>0</v>
      </c>
      <c r="F188" t="n">
        <v>0</v>
      </c>
      <c r="G188" t="n">
        <v>475983384</v>
      </c>
      <c r="H188" t="n">
        <v>714662649</v>
      </c>
    </row>
    <row r="189">
      <c r="A189" t="inlineStr">
        <is>
          <t>normal_expert_10</t>
        </is>
      </c>
      <c r="B189" t="n">
        <v>184</v>
      </c>
      <c r="C189" t="n">
        <v>750000018</v>
      </c>
      <c r="D189" t="n">
        <v>6</v>
      </c>
      <c r="E189" t="n">
        <v>0</v>
      </c>
      <c r="F189" t="n">
        <v>0</v>
      </c>
      <c r="G189" t="n">
        <v>714662650</v>
      </c>
      <c r="H189" t="n">
        <v>884744398</v>
      </c>
    </row>
    <row r="190">
      <c r="A190" t="inlineStr">
        <is>
          <t>normal_expert_10</t>
        </is>
      </c>
      <c r="B190" t="n">
        <v>185</v>
      </c>
      <c r="C190" t="n">
        <v>1000000023</v>
      </c>
      <c r="D190" t="n">
        <v>10</v>
      </c>
      <c r="E190" t="n">
        <v>2000</v>
      </c>
      <c r="F190" t="n">
        <v>2000</v>
      </c>
      <c r="G190" t="n">
        <v>999566952</v>
      </c>
      <c r="H190" t="n">
        <v>1000000023</v>
      </c>
    </row>
    <row r="191">
      <c r="A191" t="inlineStr">
        <is>
          <t>normal_expert_11</t>
        </is>
      </c>
      <c r="B191" t="n">
        <v>186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1139681</v>
      </c>
    </row>
    <row r="192">
      <c r="A192" t="inlineStr">
        <is>
          <t>normal_expert_11</t>
        </is>
      </c>
      <c r="B192" t="n">
        <v>187</v>
      </c>
      <c r="C192" t="n">
        <v>250000032</v>
      </c>
      <c r="D192" t="n">
        <v>4</v>
      </c>
      <c r="E192" t="n">
        <v>0</v>
      </c>
      <c r="F192" t="n">
        <v>0</v>
      </c>
      <c r="G192" t="n">
        <v>173453054</v>
      </c>
      <c r="H192" t="n">
        <v>371330517</v>
      </c>
    </row>
    <row r="193">
      <c r="A193" t="inlineStr">
        <is>
          <t>normal_expert_11</t>
        </is>
      </c>
      <c r="B193" t="n">
        <v>188</v>
      </c>
      <c r="C193" t="n">
        <v>500000064</v>
      </c>
      <c r="D193" t="n">
        <v>5</v>
      </c>
      <c r="E193" t="n">
        <v>0</v>
      </c>
      <c r="F193" t="n">
        <v>0</v>
      </c>
      <c r="G193" t="n">
        <v>371330518</v>
      </c>
      <c r="H193" t="n">
        <v>607269136</v>
      </c>
    </row>
    <row r="194">
      <c r="A194" t="inlineStr">
        <is>
          <t>normal_expert_11</t>
        </is>
      </c>
      <c r="B194" t="n">
        <v>189</v>
      </c>
      <c r="C194" t="n">
        <v>750000096</v>
      </c>
      <c r="D194" t="n">
        <v>6</v>
      </c>
      <c r="E194" t="n">
        <v>0</v>
      </c>
      <c r="F194" t="n">
        <v>0</v>
      </c>
      <c r="G194" t="n">
        <v>607269137</v>
      </c>
      <c r="H194" t="n">
        <v>808212511</v>
      </c>
    </row>
    <row r="195">
      <c r="A195" t="inlineStr">
        <is>
          <t>normal_expert_11</t>
        </is>
      </c>
      <c r="B195" t="n">
        <v>190</v>
      </c>
      <c r="C195" t="n">
        <v>1000000127</v>
      </c>
      <c r="D195" t="n">
        <v>11</v>
      </c>
      <c r="E195" t="n">
        <v>3200</v>
      </c>
      <c r="F195" t="n">
        <v>3200</v>
      </c>
      <c r="G195" t="n">
        <v>999805104</v>
      </c>
      <c r="H195" t="n">
        <v>1000000127</v>
      </c>
    </row>
    <row r="196">
      <c r="A196" t="inlineStr">
        <is>
          <t>normal_expert_12</t>
        </is>
      </c>
      <c r="B196" t="n">
        <v>191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1026135</v>
      </c>
    </row>
    <row r="197">
      <c r="A197" t="inlineStr">
        <is>
          <t>normal_expert_12</t>
        </is>
      </c>
      <c r="B197" t="n">
        <v>192</v>
      </c>
      <c r="C197" t="n">
        <v>250000014</v>
      </c>
      <c r="D197" t="n">
        <v>4</v>
      </c>
      <c r="E197" t="n">
        <v>0</v>
      </c>
      <c r="F197" t="n">
        <v>0</v>
      </c>
      <c r="G197" t="n">
        <v>156046813</v>
      </c>
      <c r="H197" t="n">
        <v>338775374</v>
      </c>
    </row>
    <row r="198">
      <c r="A198" t="inlineStr">
        <is>
          <t>normal_expert_12</t>
        </is>
      </c>
      <c r="B198" t="n">
        <v>193</v>
      </c>
      <c r="C198" t="n">
        <v>500000029</v>
      </c>
      <c r="D198" t="n">
        <v>5</v>
      </c>
      <c r="E198" t="n">
        <v>0</v>
      </c>
      <c r="F198" t="n">
        <v>0</v>
      </c>
      <c r="G198" t="n">
        <v>338775375</v>
      </c>
      <c r="H198" t="n">
        <v>565200982</v>
      </c>
    </row>
    <row r="199">
      <c r="A199" t="inlineStr">
        <is>
          <t>normal_expert_12</t>
        </is>
      </c>
      <c r="B199" t="n">
        <v>194</v>
      </c>
      <c r="C199" t="n">
        <v>750000044</v>
      </c>
      <c r="D199" t="n">
        <v>6</v>
      </c>
      <c r="E199" t="n">
        <v>0</v>
      </c>
      <c r="F199" t="n">
        <v>0</v>
      </c>
      <c r="G199" t="n">
        <v>565200983</v>
      </c>
      <c r="H199" t="n">
        <v>769784883</v>
      </c>
    </row>
    <row r="200">
      <c r="A200" t="inlineStr">
        <is>
          <t>normal_expert_12</t>
        </is>
      </c>
      <c r="B200" t="n">
        <v>195</v>
      </c>
      <c r="C200" t="n">
        <v>1000000058</v>
      </c>
      <c r="D200" t="n">
        <v>12</v>
      </c>
      <c r="E200" t="n">
        <v>6200</v>
      </c>
      <c r="F200" t="n">
        <v>6200</v>
      </c>
      <c r="G200" t="n">
        <v>999952224</v>
      </c>
      <c r="H200" t="n">
        <v>1000000058</v>
      </c>
    </row>
    <row r="201">
      <c r="A201" t="inlineStr">
        <is>
          <t>normal_expert_13</t>
        </is>
      </c>
      <c r="B201" t="n">
        <v>196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690245</v>
      </c>
    </row>
    <row r="202">
      <c r="A202" t="inlineStr">
        <is>
          <t>normal_expert_13</t>
        </is>
      </c>
      <c r="B202" t="n">
        <v>197</v>
      </c>
      <c r="C202" t="n">
        <v>250000002</v>
      </c>
      <c r="D202" t="n">
        <v>4</v>
      </c>
      <c r="E202" t="n">
        <v>0</v>
      </c>
      <c r="F202" t="n">
        <v>0</v>
      </c>
      <c r="G202" t="n">
        <v>121184080</v>
      </c>
      <c r="H202" t="n">
        <v>277726739</v>
      </c>
    </row>
    <row r="203">
      <c r="A203" t="inlineStr">
        <is>
          <t>normal_expert_13</t>
        </is>
      </c>
      <c r="B203" t="n">
        <v>198</v>
      </c>
      <c r="C203" t="n">
        <v>500000004</v>
      </c>
      <c r="D203" t="n">
        <v>6</v>
      </c>
      <c r="E203" t="n">
        <v>0</v>
      </c>
      <c r="F203" t="n">
        <v>0</v>
      </c>
      <c r="G203" t="n">
        <v>489190510</v>
      </c>
      <c r="H203" t="n">
        <v>700785538</v>
      </c>
    </row>
    <row r="204">
      <c r="A204" t="inlineStr">
        <is>
          <t>normal_expert_13</t>
        </is>
      </c>
      <c r="B204" t="n">
        <v>199</v>
      </c>
      <c r="C204" t="n">
        <v>750000006</v>
      </c>
      <c r="D204" t="n">
        <v>7</v>
      </c>
      <c r="E204" t="n">
        <v>0.02</v>
      </c>
      <c r="F204" t="n">
        <v>0.02</v>
      </c>
      <c r="G204" t="n">
        <v>700785539</v>
      </c>
      <c r="H204" t="n">
        <v>859580316</v>
      </c>
    </row>
    <row r="205">
      <c r="A205" t="inlineStr">
        <is>
          <t>normal_expert_13</t>
        </is>
      </c>
      <c r="B205" t="n">
        <v>200</v>
      </c>
      <c r="C205" t="n">
        <v>1000000008</v>
      </c>
      <c r="D205" t="n">
        <v>13</v>
      </c>
      <c r="E205" t="n">
        <v>10000</v>
      </c>
      <c r="F205" t="n">
        <v>10000</v>
      </c>
      <c r="G205" t="n">
        <v>999983469</v>
      </c>
      <c r="H205" t="n">
        <v>1000000008</v>
      </c>
    </row>
    <row r="206">
      <c r="A206" t="inlineStr">
        <is>
          <t>normal_expert_14</t>
        </is>
      </c>
      <c r="B206" t="n">
        <v>201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841376</v>
      </c>
    </row>
    <row r="207">
      <c r="A207" t="inlineStr">
        <is>
          <t>normal_expert_14</t>
        </is>
      </c>
      <c r="B207" t="n">
        <v>202</v>
      </c>
      <c r="C207" t="n">
        <v>249999987</v>
      </c>
      <c r="D207" t="n">
        <v>4</v>
      </c>
      <c r="E207" t="n">
        <v>0</v>
      </c>
      <c r="F207" t="n">
        <v>0</v>
      </c>
      <c r="G207" t="n">
        <v>129108009</v>
      </c>
      <c r="H207" t="n">
        <v>287204736</v>
      </c>
    </row>
    <row r="208">
      <c r="A208" t="inlineStr">
        <is>
          <t>normal_expert_14</t>
        </is>
      </c>
      <c r="B208" t="n">
        <v>203</v>
      </c>
      <c r="C208" t="n">
        <v>499999974</v>
      </c>
      <c r="D208" t="n">
        <v>6</v>
      </c>
      <c r="E208" t="n">
        <v>0.01</v>
      </c>
      <c r="F208" t="n">
        <v>0.01</v>
      </c>
      <c r="G208" t="n">
        <v>495331258</v>
      </c>
      <c r="H208" t="n">
        <v>700822458</v>
      </c>
    </row>
    <row r="209">
      <c r="A209" t="inlineStr">
        <is>
          <t>normal_expert_14</t>
        </is>
      </c>
      <c r="B209" t="n">
        <v>204</v>
      </c>
      <c r="C209" t="n">
        <v>749999961</v>
      </c>
      <c r="D209" t="n">
        <v>7</v>
      </c>
      <c r="E209" t="n">
        <v>0.04</v>
      </c>
      <c r="F209" t="n">
        <v>0.04</v>
      </c>
      <c r="G209" t="n">
        <v>700822459</v>
      </c>
      <c r="H209" t="n">
        <v>855404744</v>
      </c>
    </row>
    <row r="210">
      <c r="A210" t="inlineStr">
        <is>
          <t>normal_expert_14</t>
        </is>
      </c>
      <c r="B210" t="n">
        <v>205</v>
      </c>
      <c r="C210" t="n">
        <v>999999948</v>
      </c>
      <c r="D210" t="n">
        <v>14</v>
      </c>
      <c r="E210" t="n">
        <v>23000</v>
      </c>
      <c r="F210" t="n">
        <v>23000</v>
      </c>
      <c r="G210" t="n">
        <v>999997590</v>
      </c>
      <c r="H210" t="n">
        <v>999999948</v>
      </c>
    </row>
    <row r="211">
      <c r="A211" t="inlineStr">
        <is>
          <t>normal_expert_15</t>
        </is>
      </c>
      <c r="B211" t="n">
        <v>206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922012</v>
      </c>
    </row>
    <row r="212">
      <c r="A212" t="inlineStr">
        <is>
          <t>normal_expert_15</t>
        </is>
      </c>
      <c r="B212" t="n">
        <v>207</v>
      </c>
      <c r="C212" t="n">
        <v>250000005</v>
      </c>
      <c r="D212" t="n">
        <v>4</v>
      </c>
      <c r="E212" t="n">
        <v>0</v>
      </c>
      <c r="F212" t="n">
        <v>0</v>
      </c>
      <c r="G212" t="n">
        <v>130930951</v>
      </c>
      <c r="H212" t="n">
        <v>287080090</v>
      </c>
    </row>
    <row r="213">
      <c r="A213" t="inlineStr">
        <is>
          <t>normal_expert_15</t>
        </is>
      </c>
      <c r="B213" t="n">
        <v>208</v>
      </c>
      <c r="C213" t="n">
        <v>500000010</v>
      </c>
      <c r="D213" t="n">
        <v>6</v>
      </c>
      <c r="E213" t="n">
        <v>0.01</v>
      </c>
      <c r="F213" t="n">
        <v>0.01</v>
      </c>
      <c r="G213" t="n">
        <v>490962523</v>
      </c>
      <c r="H213" t="n">
        <v>692634744</v>
      </c>
    </row>
    <row r="214">
      <c r="A214" t="inlineStr">
        <is>
          <t>normal_expert_15</t>
        </is>
      </c>
      <c r="B214" t="n">
        <v>209</v>
      </c>
      <c r="C214" t="n">
        <v>750000015</v>
      </c>
      <c r="D214" t="n">
        <v>7</v>
      </c>
      <c r="E214" t="n">
        <v>0.05</v>
      </c>
      <c r="F214" t="n">
        <v>0.05</v>
      </c>
      <c r="G214" t="n">
        <v>692634745</v>
      </c>
      <c r="H214" t="n">
        <v>846523923</v>
      </c>
    </row>
    <row r="215">
      <c r="A215" t="inlineStr">
        <is>
          <t>normal_expert_15</t>
        </is>
      </c>
      <c r="B215" t="n">
        <v>210</v>
      </c>
      <c r="C215" t="n">
        <v>1000000019</v>
      </c>
      <c r="D215" t="n">
        <v>15</v>
      </c>
      <c r="E215" t="n">
        <v>50000</v>
      </c>
      <c r="F215" t="n">
        <v>50000</v>
      </c>
      <c r="G215" t="n">
        <v>999999632</v>
      </c>
      <c r="H215" t="n">
        <v>1000000019</v>
      </c>
    </row>
    <row r="216">
      <c r="A216" t="inlineStr">
        <is>
          <t>normal_expert_16</t>
        </is>
      </c>
      <c r="B216" t="n">
        <v>211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892200</v>
      </c>
    </row>
    <row r="217">
      <c r="A217" t="inlineStr">
        <is>
          <t>normal_expert_16</t>
        </is>
      </c>
      <c r="B217" t="n">
        <v>212</v>
      </c>
      <c r="C217" t="n">
        <v>250000001</v>
      </c>
      <c r="D217" t="n">
        <v>4</v>
      </c>
      <c r="E217" t="n">
        <v>0</v>
      </c>
      <c r="F217" t="n">
        <v>0</v>
      </c>
      <c r="G217" t="n">
        <v>124810236</v>
      </c>
      <c r="H217" t="n">
        <v>274421213</v>
      </c>
    </row>
    <row r="218">
      <c r="A218" t="inlineStr">
        <is>
          <t>normal_expert_16</t>
        </is>
      </c>
      <c r="B218" t="n">
        <v>213</v>
      </c>
      <c r="C218" t="n">
        <v>500000003</v>
      </c>
      <c r="D218" t="n">
        <v>6</v>
      </c>
      <c r="E218" t="n">
        <v>0.01</v>
      </c>
      <c r="F218" t="n">
        <v>0.01</v>
      </c>
      <c r="G218" t="n">
        <v>472246632</v>
      </c>
      <c r="H218" t="n">
        <v>672062933</v>
      </c>
    </row>
    <row r="219">
      <c r="A219" t="inlineStr">
        <is>
          <t>normal_expert_16</t>
        </is>
      </c>
      <c r="B219" t="n">
        <v>214</v>
      </c>
      <c r="C219" t="n">
        <v>750000005</v>
      </c>
      <c r="D219" t="n">
        <v>7</v>
      </c>
      <c r="E219" t="n">
        <v>0.06</v>
      </c>
      <c r="F219" t="n">
        <v>0.06</v>
      </c>
      <c r="G219" t="n">
        <v>672062934</v>
      </c>
      <c r="H219" t="n">
        <v>829330898</v>
      </c>
    </row>
    <row r="220">
      <c r="A220" t="inlineStr">
        <is>
          <t>normal_expert_16</t>
        </is>
      </c>
      <c r="B220" t="n">
        <v>215</v>
      </c>
      <c r="C220" t="n">
        <v>1000000006</v>
      </c>
      <c r="D220" t="n">
        <v>16</v>
      </c>
      <c r="E220" t="n">
        <v>100000</v>
      </c>
      <c r="F220" t="n">
        <v>100000</v>
      </c>
      <c r="G220" t="n">
        <v>999999936</v>
      </c>
      <c r="H220" t="n">
        <v>1000000006</v>
      </c>
    </row>
    <row r="221">
      <c r="A221" t="inlineStr">
        <is>
          <t>normal_expert_8</t>
        </is>
      </c>
      <c r="B221" t="n">
        <v>216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8171996</v>
      </c>
    </row>
    <row r="222">
      <c r="A222" t="inlineStr">
        <is>
          <t>normal_expert_8</t>
        </is>
      </c>
      <c r="B222" t="n">
        <v>217</v>
      </c>
      <c r="C222" t="n">
        <v>249999990</v>
      </c>
      <c r="D222" t="n">
        <v>3</v>
      </c>
      <c r="E222" t="n">
        <v>0</v>
      </c>
      <c r="F222" t="n">
        <v>0</v>
      </c>
      <c r="G222" t="n">
        <v>217279959</v>
      </c>
      <c r="H222" t="n">
        <v>473056357</v>
      </c>
    </row>
    <row r="223">
      <c r="A223" t="inlineStr">
        <is>
          <t>normal_expert_8</t>
        </is>
      </c>
      <c r="B223" t="n">
        <v>218</v>
      </c>
      <c r="C223" t="n">
        <v>499999980</v>
      </c>
      <c r="D223" t="n">
        <v>4</v>
      </c>
      <c r="E223" t="n">
        <v>0</v>
      </c>
      <c r="F223" t="n">
        <v>0</v>
      </c>
      <c r="G223" t="n">
        <v>473056358</v>
      </c>
      <c r="H223" t="n">
        <v>736417618</v>
      </c>
    </row>
    <row r="224">
      <c r="A224" t="inlineStr">
        <is>
          <t>normal_expert_8</t>
        </is>
      </c>
      <c r="B224" t="n">
        <v>219</v>
      </c>
      <c r="C224" t="n">
        <v>749999970</v>
      </c>
      <c r="D224" t="n">
        <v>5</v>
      </c>
      <c r="E224" t="n">
        <v>0</v>
      </c>
      <c r="F224" t="n">
        <v>0</v>
      </c>
      <c r="G224" t="n">
        <v>736417619</v>
      </c>
      <c r="H224" t="n">
        <v>909967088</v>
      </c>
    </row>
    <row r="225">
      <c r="A225" t="inlineStr">
        <is>
          <t>normal_expert_8</t>
        </is>
      </c>
      <c r="B225" t="n">
        <v>220</v>
      </c>
      <c r="C225" t="n">
        <v>999999960</v>
      </c>
      <c r="D225" t="n">
        <v>8</v>
      </c>
      <c r="E225" t="n">
        <v>500</v>
      </c>
      <c r="F225" t="n">
        <v>500</v>
      </c>
      <c r="G225" t="n">
        <v>998267875</v>
      </c>
      <c r="H225" t="n">
        <v>999999960</v>
      </c>
    </row>
    <row r="226">
      <c r="A226" t="inlineStr">
        <is>
          <t>normal_expert_9</t>
        </is>
      </c>
      <c r="B226" t="n">
        <v>221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4117419</v>
      </c>
    </row>
    <row r="227">
      <c r="A227" t="inlineStr">
        <is>
          <t>normal_expert_9</t>
        </is>
      </c>
      <c r="B227" t="n">
        <v>222</v>
      </c>
      <c r="C227" t="n">
        <v>250000070</v>
      </c>
      <c r="D227" t="n">
        <v>3</v>
      </c>
      <c r="E227" t="n">
        <v>0</v>
      </c>
      <c r="F227" t="n">
        <v>0</v>
      </c>
      <c r="G227" t="n">
        <v>140105654</v>
      </c>
      <c r="H227" t="n">
        <v>345795428</v>
      </c>
    </row>
    <row r="228">
      <c r="A228" t="inlineStr">
        <is>
          <t>normal_expert_9</t>
        </is>
      </c>
      <c r="B228" t="n">
        <v>223</v>
      </c>
      <c r="C228" t="n">
        <v>500000141</v>
      </c>
      <c r="D228" t="n">
        <v>4</v>
      </c>
      <c r="E228" t="n">
        <v>0</v>
      </c>
      <c r="F228" t="n">
        <v>0</v>
      </c>
      <c r="G228" t="n">
        <v>345795429</v>
      </c>
      <c r="H228" t="n">
        <v>605257205</v>
      </c>
    </row>
    <row r="229">
      <c r="A229" t="inlineStr">
        <is>
          <t>normal_expert_9</t>
        </is>
      </c>
      <c r="B229" t="n">
        <v>224</v>
      </c>
      <c r="C229" t="n">
        <v>750000211</v>
      </c>
      <c r="D229" t="n">
        <v>5</v>
      </c>
      <c r="E229" t="n">
        <v>0</v>
      </c>
      <c r="F229" t="n">
        <v>0</v>
      </c>
      <c r="G229" t="n">
        <v>605257206</v>
      </c>
      <c r="H229" t="n">
        <v>823451210</v>
      </c>
    </row>
    <row r="230">
      <c r="A230" t="inlineStr">
        <is>
          <t>normal_expert_9</t>
        </is>
      </c>
      <c r="B230" t="n">
        <v>225</v>
      </c>
      <c r="C230" t="n">
        <v>1000000281</v>
      </c>
      <c r="D230" t="n">
        <v>9</v>
      </c>
      <c r="E230" t="n">
        <v>1000</v>
      </c>
      <c r="F230" t="n">
        <v>1000</v>
      </c>
      <c r="G230" t="n">
        <v>999133935</v>
      </c>
      <c r="H230" t="n">
        <v>1000000281</v>
      </c>
    </row>
    <row r="231">
      <c r="A231" t="inlineStr">
        <is>
          <t>normal_high_10</t>
        </is>
      </c>
      <c r="B231" t="n">
        <v>226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37301</v>
      </c>
    </row>
    <row r="232">
      <c r="A232" t="inlineStr">
        <is>
          <t>normal_high_10</t>
        </is>
      </c>
      <c r="B232" t="n">
        <v>227</v>
      </c>
      <c r="C232" t="n">
        <v>249997206</v>
      </c>
      <c r="D232" t="n">
        <v>5</v>
      </c>
      <c r="E232" t="n">
        <v>0</v>
      </c>
      <c r="F232" t="n">
        <v>0</v>
      </c>
      <c r="G232" t="n">
        <v>108155984</v>
      </c>
      <c r="H232" t="n">
        <v>272484476</v>
      </c>
    </row>
    <row r="233">
      <c r="A233" t="inlineStr">
        <is>
          <t>normal_high_10</t>
        </is>
      </c>
      <c r="B233" t="n">
        <v>228</v>
      </c>
      <c r="C233" t="n">
        <v>499994413</v>
      </c>
      <c r="D233" t="n">
        <v>6</v>
      </c>
      <c r="E233" t="n">
        <v>0</v>
      </c>
      <c r="F233" t="n">
        <v>0</v>
      </c>
      <c r="G233" t="n">
        <v>272484477</v>
      </c>
      <c r="H233" t="n">
        <v>515172574</v>
      </c>
    </row>
    <row r="234">
      <c r="A234" t="inlineStr">
        <is>
          <t>normal_high_10</t>
        </is>
      </c>
      <c r="B234" t="n">
        <v>229</v>
      </c>
      <c r="C234" t="n">
        <v>749991620</v>
      </c>
      <c r="D234" t="n">
        <v>7</v>
      </c>
      <c r="E234" t="n">
        <v>0</v>
      </c>
      <c r="F234" t="n">
        <v>0</v>
      </c>
      <c r="G234" t="n">
        <v>515172575</v>
      </c>
      <c r="H234" t="n">
        <v>760941675</v>
      </c>
    </row>
    <row r="235">
      <c r="A235" t="inlineStr">
        <is>
          <t>normal_high_10</t>
        </is>
      </c>
      <c r="B235" t="n">
        <v>230</v>
      </c>
      <c r="C235" t="n">
        <v>999988826</v>
      </c>
      <c r="D235" t="n">
        <v>10</v>
      </c>
      <c r="E235" t="n">
        <v>76</v>
      </c>
      <c r="F235" t="n">
        <v>76</v>
      </c>
      <c r="G235" t="n">
        <v>988600218</v>
      </c>
      <c r="H235" t="n">
        <v>999988826</v>
      </c>
    </row>
    <row r="236">
      <c r="A236" t="inlineStr">
        <is>
          <t>normal_high_11</t>
        </is>
      </c>
      <c r="B236" t="n">
        <v>231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13687</v>
      </c>
    </row>
    <row r="237">
      <c r="A237" t="inlineStr">
        <is>
          <t>normal_high_11</t>
        </is>
      </c>
      <c r="B237" t="n">
        <v>232</v>
      </c>
      <c r="C237" t="n">
        <v>250001636</v>
      </c>
      <c r="D237" t="n">
        <v>6</v>
      </c>
      <c r="E237" t="n">
        <v>0</v>
      </c>
      <c r="F237" t="n">
        <v>0</v>
      </c>
      <c r="G237" t="n">
        <v>168450525</v>
      </c>
      <c r="H237" t="n">
        <v>361528478</v>
      </c>
    </row>
    <row r="238">
      <c r="A238" t="inlineStr">
        <is>
          <t>normal_high_11</t>
        </is>
      </c>
      <c r="B238" t="n">
        <v>233</v>
      </c>
      <c r="C238" t="n">
        <v>500003272</v>
      </c>
      <c r="D238" t="n">
        <v>7</v>
      </c>
      <c r="E238" t="n">
        <v>0</v>
      </c>
      <c r="F238" t="n">
        <v>0</v>
      </c>
      <c r="G238" t="n">
        <v>361528479</v>
      </c>
      <c r="H238" t="n">
        <v>605345168</v>
      </c>
    </row>
    <row r="239">
      <c r="A239" t="inlineStr">
        <is>
          <t>normal_high_11</t>
        </is>
      </c>
      <c r="B239" t="n">
        <v>234</v>
      </c>
      <c r="C239" t="n">
        <v>750004908</v>
      </c>
      <c r="D239" t="n">
        <v>8</v>
      </c>
      <c r="E239" t="n">
        <v>0</v>
      </c>
      <c r="F239" t="n">
        <v>0</v>
      </c>
      <c r="G239" t="n">
        <v>605345169</v>
      </c>
      <c r="H239" t="n">
        <v>820867467</v>
      </c>
    </row>
    <row r="240">
      <c r="A240" t="inlineStr">
        <is>
          <t>normal_high_11</t>
        </is>
      </c>
      <c r="B240" t="n">
        <v>235</v>
      </c>
      <c r="C240" t="n">
        <v>1000006544</v>
      </c>
      <c r="D240" t="n">
        <v>11</v>
      </c>
      <c r="E240" t="n">
        <v>120</v>
      </c>
      <c r="F240" t="n">
        <v>120</v>
      </c>
      <c r="G240" t="n">
        <v>992782536</v>
      </c>
      <c r="H240" t="n">
        <v>1000006544</v>
      </c>
    </row>
    <row r="241">
      <c r="A241" t="inlineStr">
        <is>
          <t>normal_high_12</t>
        </is>
      </c>
      <c r="B241" t="n">
        <v>236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4136</v>
      </c>
    </row>
    <row r="242">
      <c r="A242" t="inlineStr">
        <is>
          <t>normal_high_12</t>
        </is>
      </c>
      <c r="B242" t="n">
        <v>237</v>
      </c>
      <c r="C242" t="n">
        <v>250000334</v>
      </c>
      <c r="D242" t="n">
        <v>7</v>
      </c>
      <c r="E242" t="n">
        <v>0</v>
      </c>
      <c r="F242" t="n">
        <v>0</v>
      </c>
      <c r="G242" t="n">
        <v>225991444</v>
      </c>
      <c r="H242" t="n">
        <v>434011122</v>
      </c>
    </row>
    <row r="243">
      <c r="A243" t="inlineStr">
        <is>
          <t>normal_high_12</t>
        </is>
      </c>
      <c r="B243" t="n">
        <v>238</v>
      </c>
      <c r="C243" t="n">
        <v>500000669</v>
      </c>
      <c r="D243" t="n">
        <v>8</v>
      </c>
      <c r="E243" t="n">
        <v>0</v>
      </c>
      <c r="F243" t="n">
        <v>0</v>
      </c>
      <c r="G243" t="n">
        <v>434011123</v>
      </c>
      <c r="H243" t="n">
        <v>669255320</v>
      </c>
    </row>
    <row r="244">
      <c r="A244" t="inlineStr">
        <is>
          <t>normal_high_12</t>
        </is>
      </c>
      <c r="B244" t="n">
        <v>239</v>
      </c>
      <c r="C244" t="n">
        <v>750001004</v>
      </c>
      <c r="D244" t="n">
        <v>9</v>
      </c>
      <c r="E244" t="n">
        <v>0</v>
      </c>
      <c r="F244" t="n">
        <v>0</v>
      </c>
      <c r="G244" t="n">
        <v>669255321</v>
      </c>
      <c r="H244" t="n">
        <v>858433431</v>
      </c>
    </row>
    <row r="245">
      <c r="A245" t="inlineStr">
        <is>
          <t>normal_high_12</t>
        </is>
      </c>
      <c r="B245" t="n">
        <v>240</v>
      </c>
      <c r="C245" t="n">
        <v>1000001338</v>
      </c>
      <c r="D245" t="n">
        <v>12</v>
      </c>
      <c r="E245" t="n">
        <v>170</v>
      </c>
      <c r="F245" t="n">
        <v>170</v>
      </c>
      <c r="G245" t="n">
        <v>994906086</v>
      </c>
      <c r="H245" t="n">
        <v>1000001338</v>
      </c>
    </row>
    <row r="246">
      <c r="A246" t="inlineStr">
        <is>
          <t>normal_high_13</t>
        </is>
      </c>
      <c r="B246" t="n">
        <v>241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1432</v>
      </c>
    </row>
    <row r="247">
      <c r="A247" t="inlineStr">
        <is>
          <t>normal_high_13</t>
        </is>
      </c>
      <c r="B247" t="n">
        <v>242</v>
      </c>
      <c r="C247" t="n">
        <v>250000502</v>
      </c>
      <c r="D247" t="n">
        <v>7</v>
      </c>
      <c r="E247" t="n">
        <v>0</v>
      </c>
      <c r="F247" t="n">
        <v>0</v>
      </c>
      <c r="G247" t="n">
        <v>138313657</v>
      </c>
      <c r="H247" t="n">
        <v>298027169</v>
      </c>
    </row>
    <row r="248">
      <c r="A248" t="inlineStr">
        <is>
          <t>normal_high_13</t>
        </is>
      </c>
      <c r="B248" t="n">
        <v>243</v>
      </c>
      <c r="C248" t="n">
        <v>500001005</v>
      </c>
      <c r="D248" t="n">
        <v>8</v>
      </c>
      <c r="E248" t="n">
        <v>0</v>
      </c>
      <c r="F248" t="n">
        <v>0</v>
      </c>
      <c r="G248" t="n">
        <v>298027170</v>
      </c>
      <c r="H248" t="n">
        <v>515470817</v>
      </c>
    </row>
    <row r="249">
      <c r="A249" t="inlineStr">
        <is>
          <t>normal_high_13</t>
        </is>
      </c>
      <c r="B249" t="n">
        <v>244</v>
      </c>
      <c r="C249" t="n">
        <v>750001507</v>
      </c>
      <c r="D249" t="n">
        <v>10</v>
      </c>
      <c r="E249" t="n">
        <v>0</v>
      </c>
      <c r="F249" t="n">
        <v>0</v>
      </c>
      <c r="G249" t="n">
        <v>734760411</v>
      </c>
      <c r="H249" t="n">
        <v>893989280</v>
      </c>
    </row>
    <row r="250">
      <c r="A250" t="inlineStr">
        <is>
          <t>normal_high_13</t>
        </is>
      </c>
      <c r="B250" t="n">
        <v>245</v>
      </c>
      <c r="C250" t="n">
        <v>1000002009</v>
      </c>
      <c r="D250" t="n">
        <v>13</v>
      </c>
      <c r="E250" t="n">
        <v>260</v>
      </c>
      <c r="F250" t="n">
        <v>260</v>
      </c>
      <c r="G250" t="n">
        <v>996669672</v>
      </c>
      <c r="H250" t="n">
        <v>1000002009</v>
      </c>
    </row>
    <row r="251">
      <c r="A251" t="inlineStr">
        <is>
          <t>normal_high_14</t>
        </is>
      </c>
      <c r="B251" t="n">
        <v>246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547</v>
      </c>
    </row>
    <row r="252">
      <c r="A252" t="inlineStr">
        <is>
          <t>normal_high_14</t>
        </is>
      </c>
      <c r="B252" t="n">
        <v>247</v>
      </c>
      <c r="C252" t="n">
        <v>249999954</v>
      </c>
      <c r="D252" t="n">
        <v>8</v>
      </c>
      <c r="E252" t="n">
        <v>0</v>
      </c>
      <c r="F252" t="n">
        <v>0</v>
      </c>
      <c r="G252" t="n">
        <v>199262164</v>
      </c>
      <c r="H252" t="n">
        <v>380982685</v>
      </c>
    </row>
    <row r="253">
      <c r="A253" t="inlineStr">
        <is>
          <t>normal_high_14</t>
        </is>
      </c>
      <c r="B253" t="n">
        <v>248</v>
      </c>
      <c r="C253" t="n">
        <v>499999909</v>
      </c>
      <c r="D253" t="n">
        <v>9</v>
      </c>
      <c r="E253" t="n">
        <v>0</v>
      </c>
      <c r="F253" t="n">
        <v>0</v>
      </c>
      <c r="G253" t="n">
        <v>380982686</v>
      </c>
      <c r="H253" t="n">
        <v>599107024</v>
      </c>
    </row>
    <row r="254">
      <c r="A254" t="inlineStr">
        <is>
          <t>normal_high_14</t>
        </is>
      </c>
      <c r="B254" t="n">
        <v>249</v>
      </c>
      <c r="C254" t="n">
        <v>749999863</v>
      </c>
      <c r="D254" t="n">
        <v>10</v>
      </c>
      <c r="E254" t="n">
        <v>0</v>
      </c>
      <c r="F254" t="n">
        <v>0</v>
      </c>
      <c r="G254" t="n">
        <v>599107025</v>
      </c>
      <c r="H254" t="n">
        <v>795472685</v>
      </c>
    </row>
    <row r="255">
      <c r="A255" t="inlineStr">
        <is>
          <t>normal_high_14</t>
        </is>
      </c>
      <c r="B255" t="n">
        <v>250</v>
      </c>
      <c r="C255" t="n">
        <v>999999817</v>
      </c>
      <c r="D255" t="n">
        <v>14</v>
      </c>
      <c r="E255" t="n">
        <v>420</v>
      </c>
      <c r="F255" t="n">
        <v>420</v>
      </c>
      <c r="G255" t="n">
        <v>997938433</v>
      </c>
      <c r="H255" t="n">
        <v>999999817</v>
      </c>
    </row>
    <row r="256">
      <c r="A256" t="inlineStr">
        <is>
          <t>normal_high_15</t>
        </is>
      </c>
      <c r="B256" t="n">
        <v>251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308</v>
      </c>
    </row>
    <row r="257">
      <c r="A257" t="inlineStr">
        <is>
          <t>normal_high_15</t>
        </is>
      </c>
      <c r="B257" t="n">
        <v>252</v>
      </c>
      <c r="C257" t="n">
        <v>250000276</v>
      </c>
      <c r="D257" t="n">
        <v>8</v>
      </c>
      <c r="E257" t="n">
        <v>0</v>
      </c>
      <c r="F257" t="n">
        <v>0</v>
      </c>
      <c r="G257" t="n">
        <v>145138949</v>
      </c>
      <c r="H257" t="n">
        <v>294959829</v>
      </c>
    </row>
    <row r="258">
      <c r="A258" t="inlineStr">
        <is>
          <t>normal_high_15</t>
        </is>
      </c>
      <c r="B258" t="n">
        <v>253</v>
      </c>
      <c r="C258" t="n">
        <v>500000553</v>
      </c>
      <c r="D258" t="n">
        <v>10</v>
      </c>
      <c r="E258" t="n">
        <v>0</v>
      </c>
      <c r="F258" t="n">
        <v>0</v>
      </c>
      <c r="G258" t="n">
        <v>494973118</v>
      </c>
      <c r="H258" t="n">
        <v>700960713</v>
      </c>
    </row>
    <row r="259">
      <c r="A259" t="inlineStr">
        <is>
          <t>normal_high_15</t>
        </is>
      </c>
      <c r="B259" t="n">
        <v>254</v>
      </c>
      <c r="C259" t="n">
        <v>750000829</v>
      </c>
      <c r="D259" t="n">
        <v>11</v>
      </c>
      <c r="E259" t="n">
        <v>0</v>
      </c>
      <c r="F259" t="n">
        <v>0</v>
      </c>
      <c r="G259" t="n">
        <v>700960714</v>
      </c>
      <c r="H259" t="n">
        <v>861673103</v>
      </c>
    </row>
    <row r="260">
      <c r="A260" t="inlineStr">
        <is>
          <t>normal_high_15</t>
        </is>
      </c>
      <c r="B260" t="n">
        <v>255</v>
      </c>
      <c r="C260" t="n">
        <v>1000001105</v>
      </c>
      <c r="D260" t="n">
        <v>15</v>
      </c>
      <c r="E260" t="n">
        <v>620</v>
      </c>
      <c r="F260" t="n">
        <v>620</v>
      </c>
      <c r="G260" t="n">
        <v>998978024</v>
      </c>
      <c r="H260" t="n">
        <v>1000001105</v>
      </c>
    </row>
    <row r="261">
      <c r="A261" t="inlineStr">
        <is>
          <t>normal_high_16</t>
        </is>
      </c>
      <c r="B261" t="n">
        <v>256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290</v>
      </c>
    </row>
    <row r="262">
      <c r="A262" t="inlineStr">
        <is>
          <t>normal_high_16</t>
        </is>
      </c>
      <c r="B262" t="n">
        <v>257</v>
      </c>
      <c r="C262" t="n">
        <v>250000073</v>
      </c>
      <c r="D262" t="n">
        <v>8</v>
      </c>
      <c r="E262" t="n">
        <v>0</v>
      </c>
      <c r="F262" t="n">
        <v>0</v>
      </c>
      <c r="G262" t="n">
        <v>124864829</v>
      </c>
      <c r="H262" t="n">
        <v>257306195</v>
      </c>
    </row>
    <row r="263">
      <c r="A263" t="inlineStr">
        <is>
          <t>normal_high_16</t>
        </is>
      </c>
      <c r="B263" t="n">
        <v>258</v>
      </c>
      <c r="C263" t="n">
        <v>500000146</v>
      </c>
      <c r="D263" t="n">
        <v>10</v>
      </c>
      <c r="E263" t="n">
        <v>0</v>
      </c>
      <c r="F263" t="n">
        <v>0</v>
      </c>
      <c r="G263" t="n">
        <v>441130236</v>
      </c>
      <c r="H263" t="n">
        <v>642054099</v>
      </c>
    </row>
    <row r="264">
      <c r="A264" t="inlineStr">
        <is>
          <t>normal_high_16</t>
        </is>
      </c>
      <c r="B264" t="n">
        <v>259</v>
      </c>
      <c r="C264" t="n">
        <v>750000219</v>
      </c>
      <c r="D264" t="n">
        <v>11</v>
      </c>
      <c r="E264" t="n">
        <v>0.01</v>
      </c>
      <c r="F264" t="n">
        <v>0.01</v>
      </c>
      <c r="G264" t="n">
        <v>642054100</v>
      </c>
      <c r="H264" t="n">
        <v>813182173</v>
      </c>
    </row>
    <row r="265">
      <c r="A265" t="inlineStr">
        <is>
          <t>normal_high_16</t>
        </is>
      </c>
      <c r="B265" t="n">
        <v>260</v>
      </c>
      <c r="C265" t="n">
        <v>1000000292</v>
      </c>
      <c r="D265" t="n">
        <v>16</v>
      </c>
      <c r="E265" t="n">
        <v>1000</v>
      </c>
      <c r="F265" t="n">
        <v>1000</v>
      </c>
      <c r="G265" t="n">
        <v>999636340</v>
      </c>
      <c r="H265" t="n">
        <v>1000000292</v>
      </c>
    </row>
    <row r="266">
      <c r="A266" t="inlineStr">
        <is>
          <t>normal_high_8</t>
        </is>
      </c>
      <c r="B266" t="n">
        <v>261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252675</v>
      </c>
    </row>
    <row r="267">
      <c r="A267" t="inlineStr">
        <is>
          <t>normal_high_8</t>
        </is>
      </c>
      <c r="B267" t="n">
        <v>262</v>
      </c>
      <c r="C267" t="n">
        <v>249992886</v>
      </c>
      <c r="D267" t="n">
        <v>4</v>
      </c>
      <c r="E267" t="n">
        <v>0</v>
      </c>
      <c r="F267" t="n">
        <v>0</v>
      </c>
      <c r="G267" t="n">
        <v>112048836</v>
      </c>
      <c r="H267" t="n">
        <v>304542358</v>
      </c>
    </row>
    <row r="268">
      <c r="A268" t="inlineStr">
        <is>
          <t>normal_high_8</t>
        </is>
      </c>
      <c r="B268" t="n">
        <v>263</v>
      </c>
      <c r="C268" t="n">
        <v>499985773</v>
      </c>
      <c r="D268" t="n">
        <v>5</v>
      </c>
      <c r="E268" t="n">
        <v>0</v>
      </c>
      <c r="F268" t="n">
        <v>0</v>
      </c>
      <c r="G268" t="n">
        <v>304542359</v>
      </c>
      <c r="H268" t="n">
        <v>584243663</v>
      </c>
    </row>
    <row r="269">
      <c r="A269" t="inlineStr">
        <is>
          <t>normal_high_8</t>
        </is>
      </c>
      <c r="B269" t="n">
        <v>264</v>
      </c>
      <c r="C269" t="n">
        <v>749978659</v>
      </c>
      <c r="D269" t="n">
        <v>6</v>
      </c>
      <c r="E269" t="n">
        <v>0.02</v>
      </c>
      <c r="F269" t="n">
        <v>0.02</v>
      </c>
      <c r="G269" t="n">
        <v>584243664</v>
      </c>
      <c r="H269" t="n">
        <v>838254872</v>
      </c>
    </row>
    <row r="270">
      <c r="A270" t="inlineStr">
        <is>
          <t>normal_high_8</t>
        </is>
      </c>
      <c r="B270" t="n">
        <v>265</v>
      </c>
      <c r="C270" t="n">
        <v>999971545</v>
      </c>
      <c r="D270" t="n">
        <v>8</v>
      </c>
      <c r="E270" t="n">
        <v>29</v>
      </c>
      <c r="F270" t="n">
        <v>29</v>
      </c>
      <c r="G270" t="n">
        <v>970072419</v>
      </c>
      <c r="H270" t="n">
        <v>999971545</v>
      </c>
    </row>
    <row r="271">
      <c r="A271" t="inlineStr">
        <is>
          <t>normal_high_9</t>
        </is>
      </c>
      <c r="B271" t="n">
        <v>266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82819</v>
      </c>
    </row>
    <row r="272">
      <c r="A272" t="inlineStr">
        <is>
          <t>normal_high_9</t>
        </is>
      </c>
      <c r="B272" t="n">
        <v>267</v>
      </c>
      <c r="C272" t="n">
        <v>249996877</v>
      </c>
      <c r="D272" t="n">
        <v>5</v>
      </c>
      <c r="E272" t="n">
        <v>0</v>
      </c>
      <c r="F272" t="n">
        <v>0</v>
      </c>
      <c r="G272" t="n">
        <v>174997302</v>
      </c>
      <c r="H272" t="n">
        <v>395955136</v>
      </c>
    </row>
    <row r="273">
      <c r="A273" t="inlineStr">
        <is>
          <t>normal_high_9</t>
        </is>
      </c>
      <c r="B273" t="n">
        <v>268</v>
      </c>
      <c r="C273" t="n">
        <v>499993754</v>
      </c>
      <c r="D273" t="n">
        <v>6</v>
      </c>
      <c r="E273" t="n">
        <v>0</v>
      </c>
      <c r="F273" t="n">
        <v>0</v>
      </c>
      <c r="G273" t="n">
        <v>395955137</v>
      </c>
      <c r="H273" t="n">
        <v>667210812</v>
      </c>
    </row>
    <row r="274">
      <c r="A274" t="inlineStr">
        <is>
          <t>normal_high_9</t>
        </is>
      </c>
      <c r="B274" t="n">
        <v>269</v>
      </c>
      <c r="C274" t="n">
        <v>749990631</v>
      </c>
      <c r="D274" t="n">
        <v>7</v>
      </c>
      <c r="E274" t="n">
        <v>0.02</v>
      </c>
      <c r="F274" t="n">
        <v>0.02</v>
      </c>
      <c r="G274" t="n">
        <v>667210813</v>
      </c>
      <c r="H274" t="n">
        <v>881284227</v>
      </c>
    </row>
    <row r="275">
      <c r="A275" t="inlineStr">
        <is>
          <t>normal_high_9</t>
        </is>
      </c>
      <c r="B275" t="n">
        <v>270</v>
      </c>
      <c r="C275" t="n">
        <v>999987507</v>
      </c>
      <c r="D275" t="n">
        <v>9</v>
      </c>
      <c r="E275" t="n">
        <v>43</v>
      </c>
      <c r="F275" t="n">
        <v>43</v>
      </c>
      <c r="G275" t="n">
        <v>979835772</v>
      </c>
      <c r="H275" t="n">
        <v>999987507</v>
      </c>
    </row>
    <row r="276">
      <c r="A276" t="inlineStr">
        <is>
          <t>normal_low_10</t>
        </is>
      </c>
      <c r="B276" t="n">
        <v>271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11655</v>
      </c>
    </row>
    <row r="277">
      <c r="A277" t="inlineStr">
        <is>
          <t>normal_low_10</t>
        </is>
      </c>
      <c r="B277" t="n">
        <v>272</v>
      </c>
      <c r="C277" t="n">
        <v>250051386</v>
      </c>
      <c r="D277" t="n">
        <v>6</v>
      </c>
      <c r="E277" t="n">
        <v>0.18</v>
      </c>
      <c r="F277" t="n">
        <v>0.18</v>
      </c>
      <c r="G277" t="n">
        <v>188796024</v>
      </c>
      <c r="H277" t="n">
        <v>407387360</v>
      </c>
    </row>
    <row r="278">
      <c r="A278" t="inlineStr">
        <is>
          <t>normal_low_10</t>
        </is>
      </c>
      <c r="B278" t="n">
        <v>273</v>
      </c>
      <c r="C278" t="n">
        <v>500102773</v>
      </c>
      <c r="D278" t="n">
        <v>7</v>
      </c>
      <c r="E278" t="n">
        <v>0.48</v>
      </c>
      <c r="F278" t="n">
        <v>0.48</v>
      </c>
      <c r="G278" t="n">
        <v>407387361</v>
      </c>
      <c r="H278" t="n">
        <v>671468947</v>
      </c>
    </row>
    <row r="279">
      <c r="A279" t="inlineStr">
        <is>
          <t>normal_low_10</t>
        </is>
      </c>
      <c r="B279" t="n">
        <v>274</v>
      </c>
      <c r="C279" t="n">
        <v>750154159</v>
      </c>
      <c r="D279" t="n">
        <v>8</v>
      </c>
      <c r="E279" t="n">
        <v>1.27</v>
      </c>
      <c r="F279" t="n">
        <v>1.27</v>
      </c>
      <c r="G279" t="n">
        <v>671468948</v>
      </c>
      <c r="H279" t="n">
        <v>880838059</v>
      </c>
    </row>
    <row r="280">
      <c r="A280" t="inlineStr">
        <is>
          <t>normal_low_10</t>
        </is>
      </c>
      <c r="B280" t="n">
        <v>275</v>
      </c>
      <c r="C280" t="n">
        <v>1000205545</v>
      </c>
      <c r="D280" t="n">
        <v>10</v>
      </c>
      <c r="E280" t="n">
        <v>8.9</v>
      </c>
      <c r="F280" t="n">
        <v>8.9</v>
      </c>
      <c r="G280" t="n">
        <v>979203677</v>
      </c>
      <c r="H280" t="n">
        <v>1000205545</v>
      </c>
    </row>
    <row r="281">
      <c r="A281" t="inlineStr">
        <is>
          <t>normal_low_11</t>
        </is>
      </c>
      <c r="B281" t="n">
        <v>276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1027</v>
      </c>
    </row>
    <row r="282">
      <c r="A282" t="inlineStr">
        <is>
          <t>normal_low_11</t>
        </is>
      </c>
      <c r="B282" t="n">
        <v>277</v>
      </c>
      <c r="C282" t="n">
        <v>249994691</v>
      </c>
      <c r="D282" t="n">
        <v>7</v>
      </c>
      <c r="E282" t="n">
        <v>0.16</v>
      </c>
      <c r="F282" t="n">
        <v>0.16</v>
      </c>
      <c r="G282" t="n">
        <v>179553027</v>
      </c>
      <c r="H282" t="n">
        <v>387992741</v>
      </c>
    </row>
    <row r="283">
      <c r="A283" t="inlineStr">
        <is>
          <t>normal_low_11</t>
        </is>
      </c>
      <c r="B283" t="n">
        <v>278</v>
      </c>
      <c r="C283" t="n">
        <v>499989383</v>
      </c>
      <c r="D283" t="n">
        <v>8</v>
      </c>
      <c r="E283" t="n">
        <v>0.44</v>
      </c>
      <c r="F283" t="n">
        <v>0.44</v>
      </c>
      <c r="G283" t="n">
        <v>387992742</v>
      </c>
      <c r="H283" t="n">
        <v>648797686</v>
      </c>
    </row>
    <row r="284">
      <c r="A284" t="inlineStr">
        <is>
          <t>normal_low_11</t>
        </is>
      </c>
      <c r="B284" t="n">
        <v>279</v>
      </c>
      <c r="C284" t="n">
        <v>749984075</v>
      </c>
      <c r="D284" t="n">
        <v>9</v>
      </c>
      <c r="E284" t="n">
        <v>1.17</v>
      </c>
      <c r="F284" t="n">
        <v>1.17</v>
      </c>
      <c r="G284" t="n">
        <v>648797687</v>
      </c>
      <c r="H284" t="n">
        <v>866348099</v>
      </c>
    </row>
    <row r="285">
      <c r="A285" t="inlineStr">
        <is>
          <t>normal_low_11</t>
        </is>
      </c>
      <c r="B285" t="n">
        <v>280</v>
      </c>
      <c r="C285" t="n">
        <v>999978766</v>
      </c>
      <c r="D285" t="n">
        <v>11</v>
      </c>
      <c r="E285" t="n">
        <v>8.4</v>
      </c>
      <c r="F285" t="n">
        <v>8.4</v>
      </c>
      <c r="G285" t="n">
        <v>975229891</v>
      </c>
      <c r="H285" t="n">
        <v>999978766</v>
      </c>
    </row>
    <row r="286">
      <c r="A286" t="inlineStr">
        <is>
          <t>normal_low_12</t>
        </is>
      </c>
      <c r="B286" t="n">
        <v>281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533</v>
      </c>
    </row>
    <row r="287">
      <c r="A287" t="inlineStr">
        <is>
          <t>normal_low_12</t>
        </is>
      </c>
      <c r="B287" t="n">
        <v>282</v>
      </c>
      <c r="C287" t="n">
        <v>250049887</v>
      </c>
      <c r="D287" t="n">
        <v>7</v>
      </c>
      <c r="E287" t="n">
        <v>0.11</v>
      </c>
      <c r="F287" t="n">
        <v>0.11</v>
      </c>
      <c r="G287" t="n">
        <v>118009744</v>
      </c>
      <c r="H287" t="n">
        <v>276612806</v>
      </c>
    </row>
    <row r="288">
      <c r="A288" t="inlineStr">
        <is>
          <t>normal_low_12</t>
        </is>
      </c>
      <c r="B288" t="n">
        <v>283</v>
      </c>
      <c r="C288" t="n">
        <v>500099775</v>
      </c>
      <c r="D288" t="n">
        <v>8</v>
      </c>
      <c r="E288" t="n">
        <v>0.28</v>
      </c>
      <c r="F288" t="n">
        <v>0.28</v>
      </c>
      <c r="G288" t="n">
        <v>276612807</v>
      </c>
      <c r="H288" t="n">
        <v>507797139</v>
      </c>
    </row>
    <row r="289">
      <c r="A289" t="inlineStr">
        <is>
          <t>normal_low_12</t>
        </is>
      </c>
      <c r="B289" t="n">
        <v>284</v>
      </c>
      <c r="C289" t="n">
        <v>750149662</v>
      </c>
      <c r="D289" t="n">
        <v>10</v>
      </c>
      <c r="E289" t="n">
        <v>1.67</v>
      </c>
      <c r="F289" t="n">
        <v>1.67</v>
      </c>
      <c r="G289" t="n">
        <v>747427970</v>
      </c>
      <c r="H289" t="n">
        <v>915088469</v>
      </c>
    </row>
    <row r="290">
      <c r="A290" t="inlineStr">
        <is>
          <t>normal_low_12</t>
        </is>
      </c>
      <c r="B290" t="n">
        <v>285</v>
      </c>
      <c r="C290" t="n">
        <v>1000199549</v>
      </c>
      <c r="D290" t="n">
        <v>12</v>
      </c>
      <c r="E290" t="n">
        <v>10</v>
      </c>
      <c r="F290" t="n">
        <v>10</v>
      </c>
      <c r="G290" t="n">
        <v>986182786</v>
      </c>
      <c r="H290" t="n">
        <v>1000199549</v>
      </c>
    </row>
    <row r="291">
      <c r="A291" t="inlineStr">
        <is>
          <t>normal_low_13</t>
        </is>
      </c>
      <c r="B291" t="n">
        <v>286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9</v>
      </c>
    </row>
    <row r="292">
      <c r="A292" t="inlineStr">
        <is>
          <t>normal_low_13</t>
        </is>
      </c>
      <c r="B292" t="n">
        <v>287</v>
      </c>
      <c r="C292" t="n">
        <v>250055218</v>
      </c>
      <c r="D292" t="n">
        <v>9</v>
      </c>
      <c r="E292" t="n">
        <v>0.16</v>
      </c>
      <c r="F292" t="n">
        <v>0.16</v>
      </c>
      <c r="G292" t="n">
        <v>185578953</v>
      </c>
      <c r="H292" t="n">
        <v>387854396</v>
      </c>
    </row>
    <row r="293">
      <c r="A293" t="inlineStr">
        <is>
          <t>normal_low_13</t>
        </is>
      </c>
      <c r="B293" t="n">
        <v>288</v>
      </c>
      <c r="C293" t="n">
        <v>500110437</v>
      </c>
      <c r="D293" t="n">
        <v>10</v>
      </c>
      <c r="E293" t="n">
        <v>0.42</v>
      </c>
      <c r="F293" t="n">
        <v>0.42</v>
      </c>
      <c r="G293" t="n">
        <v>387854397</v>
      </c>
      <c r="H293" t="n">
        <v>641725338</v>
      </c>
    </row>
    <row r="294">
      <c r="A294" t="inlineStr">
        <is>
          <t>normal_low_13</t>
        </is>
      </c>
      <c r="B294" t="n">
        <v>289</v>
      </c>
      <c r="C294" t="n">
        <v>750165655</v>
      </c>
      <c r="D294" t="n">
        <v>11</v>
      </c>
      <c r="E294" t="n">
        <v>1.13</v>
      </c>
      <c r="F294" t="n">
        <v>1.13</v>
      </c>
      <c r="G294" t="n">
        <v>641725339</v>
      </c>
      <c r="H294" t="n">
        <v>858971146</v>
      </c>
    </row>
    <row r="295">
      <c r="A295" t="inlineStr">
        <is>
          <t>normal_low_13</t>
        </is>
      </c>
      <c r="B295" t="n">
        <v>290</v>
      </c>
      <c r="C295" t="n">
        <v>1000220873</v>
      </c>
      <c r="D295" t="n">
        <v>13</v>
      </c>
      <c r="E295" t="n">
        <v>8.1</v>
      </c>
      <c r="F295" t="n">
        <v>8.1</v>
      </c>
      <c r="G295" t="n">
        <v>972579430</v>
      </c>
      <c r="H295" t="n">
        <v>1000220873</v>
      </c>
    </row>
    <row r="296">
      <c r="A296" t="inlineStr">
        <is>
          <t>normal_low_14</t>
        </is>
      </c>
      <c r="B296" t="n">
        <v>291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11</v>
      </c>
    </row>
    <row r="297">
      <c r="A297" t="inlineStr">
        <is>
          <t>normal_low_14</t>
        </is>
      </c>
      <c r="B297" t="n">
        <v>292</v>
      </c>
      <c r="C297" t="n">
        <v>250062422</v>
      </c>
      <c r="D297" t="n">
        <v>10</v>
      </c>
      <c r="E297" t="n">
        <v>0.1</v>
      </c>
      <c r="F297" t="n">
        <v>0.1</v>
      </c>
      <c r="G297" t="n">
        <v>137894396</v>
      </c>
      <c r="H297" t="n">
        <v>314550258</v>
      </c>
    </row>
    <row r="298">
      <c r="A298" t="inlineStr">
        <is>
          <t>normal_low_14</t>
        </is>
      </c>
      <c r="B298" t="n">
        <v>293</v>
      </c>
      <c r="C298" t="n">
        <v>500124844</v>
      </c>
      <c r="D298" t="n">
        <v>11</v>
      </c>
      <c r="E298" t="n">
        <v>0.29</v>
      </c>
      <c r="F298" t="n">
        <v>0.29</v>
      </c>
      <c r="G298" t="n">
        <v>314550259</v>
      </c>
      <c r="H298" t="n">
        <v>565688892</v>
      </c>
    </row>
    <row r="299">
      <c r="A299" t="inlineStr">
        <is>
          <t>normal_low_14</t>
        </is>
      </c>
      <c r="B299" t="n">
        <v>294</v>
      </c>
      <c r="C299" t="n">
        <v>750187266</v>
      </c>
      <c r="D299" t="n">
        <v>12</v>
      </c>
      <c r="E299" t="n">
        <v>0.85</v>
      </c>
      <c r="F299" t="n">
        <v>0.85</v>
      </c>
      <c r="G299" t="n">
        <v>565688893</v>
      </c>
      <c r="H299" t="n">
        <v>811143789</v>
      </c>
    </row>
    <row r="300">
      <c r="A300" t="inlineStr">
        <is>
          <t>normal_low_14</t>
        </is>
      </c>
      <c r="B300" t="n">
        <v>295</v>
      </c>
      <c r="C300" t="n">
        <v>1000249688</v>
      </c>
      <c r="D300" t="n">
        <v>14</v>
      </c>
      <c r="E300" t="n">
        <v>7.1</v>
      </c>
      <c r="F300" t="n">
        <v>7.1</v>
      </c>
      <c r="G300" t="n">
        <v>958774433</v>
      </c>
      <c r="H300" t="n">
        <v>1000249688</v>
      </c>
    </row>
    <row r="301">
      <c r="A301" t="inlineStr">
        <is>
          <t>normal_low_15</t>
        </is>
      </c>
      <c r="B301" t="n">
        <v>296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37</v>
      </c>
    </row>
    <row r="302">
      <c r="A302" t="inlineStr">
        <is>
          <t>normal_low_15</t>
        </is>
      </c>
      <c r="B302" t="n">
        <v>297</v>
      </c>
      <c r="C302" t="n">
        <v>249991435</v>
      </c>
      <c r="D302" t="n">
        <v>9</v>
      </c>
      <c r="E302" t="n">
        <v>0.18</v>
      </c>
      <c r="F302" t="n">
        <v>0.18</v>
      </c>
      <c r="G302" t="n">
        <v>172742611</v>
      </c>
      <c r="H302" t="n">
        <v>340028438</v>
      </c>
    </row>
    <row r="303">
      <c r="A303" t="inlineStr">
        <is>
          <t>normal_low_15</t>
        </is>
      </c>
      <c r="B303" t="n">
        <v>298</v>
      </c>
      <c r="C303" t="n">
        <v>499982871</v>
      </c>
      <c r="D303" t="n">
        <v>10</v>
      </c>
      <c r="E303" t="n">
        <v>0.37</v>
      </c>
      <c r="F303" t="n">
        <v>0.37</v>
      </c>
      <c r="G303" t="n">
        <v>340028439</v>
      </c>
      <c r="H303" t="n">
        <v>553082324</v>
      </c>
    </row>
    <row r="304">
      <c r="A304" t="inlineStr">
        <is>
          <t>normal_low_15</t>
        </is>
      </c>
      <c r="B304" t="n">
        <v>299</v>
      </c>
      <c r="C304" t="n">
        <v>749974307</v>
      </c>
      <c r="D304" t="n">
        <v>11</v>
      </c>
      <c r="E304" t="n">
        <v>0.78</v>
      </c>
      <c r="F304" t="n">
        <v>0.78</v>
      </c>
      <c r="G304" t="n">
        <v>553082325</v>
      </c>
      <c r="H304" t="n">
        <v>758645747</v>
      </c>
    </row>
    <row r="305">
      <c r="A305" t="inlineStr">
        <is>
          <t>normal_low_15</t>
        </is>
      </c>
      <c r="B305" t="n">
        <v>300</v>
      </c>
      <c r="C305" t="n">
        <v>999965742</v>
      </c>
      <c r="D305" t="n">
        <v>15</v>
      </c>
      <c r="E305" t="n">
        <v>15</v>
      </c>
      <c r="F305" t="n">
        <v>15</v>
      </c>
      <c r="G305" t="n">
        <v>996942763</v>
      </c>
      <c r="H305" t="n">
        <v>999965742</v>
      </c>
    </row>
    <row r="306">
      <c r="A306" t="inlineStr">
        <is>
          <t>normal_low_16</t>
        </is>
      </c>
      <c r="B306" t="n">
        <v>301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9</v>
      </c>
    </row>
    <row r="307">
      <c r="A307" t="inlineStr">
        <is>
          <t>normal_low_16</t>
        </is>
      </c>
      <c r="B307" t="n">
        <v>302</v>
      </c>
      <c r="C307" t="n">
        <v>249963479</v>
      </c>
      <c r="D307" t="n">
        <v>10</v>
      </c>
      <c r="E307" t="n">
        <v>0.22</v>
      </c>
      <c r="F307" t="n">
        <v>0.22</v>
      </c>
      <c r="G307" t="n">
        <v>213071118</v>
      </c>
      <c r="H307" t="n">
        <v>391194988</v>
      </c>
    </row>
    <row r="308">
      <c r="A308" t="inlineStr">
        <is>
          <t>normal_low_16</t>
        </is>
      </c>
      <c r="B308" t="n">
        <v>303</v>
      </c>
      <c r="C308" t="n">
        <v>499926959</v>
      </c>
      <c r="D308" t="n">
        <v>11</v>
      </c>
      <c r="E308" t="n">
        <v>0.45</v>
      </c>
      <c r="F308" t="n">
        <v>0.45</v>
      </c>
      <c r="G308" t="n">
        <v>391194989</v>
      </c>
      <c r="H308" t="n">
        <v>602258412</v>
      </c>
    </row>
    <row r="309">
      <c r="A309" t="inlineStr">
        <is>
          <t>normal_low_16</t>
        </is>
      </c>
      <c r="B309" t="n">
        <v>304</v>
      </c>
      <c r="C309" t="n">
        <v>749890438</v>
      </c>
      <c r="D309" t="n">
        <v>12</v>
      </c>
      <c r="E309" t="n">
        <v>0.91</v>
      </c>
      <c r="F309" t="n">
        <v>0.91</v>
      </c>
      <c r="G309" t="n">
        <v>602258413</v>
      </c>
      <c r="H309" t="n">
        <v>793302687</v>
      </c>
    </row>
    <row r="310">
      <c r="A310" t="inlineStr">
        <is>
          <t>normal_low_16</t>
        </is>
      </c>
      <c r="B310" t="n">
        <v>305</v>
      </c>
      <c r="C310" t="n">
        <v>999853917</v>
      </c>
      <c r="D310" t="n">
        <v>16</v>
      </c>
      <c r="E310" t="n">
        <v>16</v>
      </c>
      <c r="F310" t="n">
        <v>16</v>
      </c>
      <c r="G310" t="n">
        <v>997662286</v>
      </c>
      <c r="H310" t="n">
        <v>999853917</v>
      </c>
    </row>
    <row r="311">
      <c r="A311" t="inlineStr">
        <is>
          <t>normal_low_8</t>
        </is>
      </c>
      <c r="B311" t="n">
        <v>306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25770</v>
      </c>
    </row>
    <row r="312">
      <c r="A312" t="inlineStr">
        <is>
          <t>normal_low_8</t>
        </is>
      </c>
      <c r="B312" t="n">
        <v>307</v>
      </c>
      <c r="C312" t="n">
        <v>249869813</v>
      </c>
      <c r="D312" t="n">
        <v>5</v>
      </c>
      <c r="E312" t="n">
        <v>0.1</v>
      </c>
      <c r="F312" t="n">
        <v>0.1</v>
      </c>
      <c r="G312" t="n">
        <v>138553173</v>
      </c>
      <c r="H312" t="n">
        <v>364028644</v>
      </c>
    </row>
    <row r="313">
      <c r="A313" t="inlineStr">
        <is>
          <t>normal_low_8</t>
        </is>
      </c>
      <c r="B313" t="n">
        <v>308</v>
      </c>
      <c r="C313" t="n">
        <v>499739626</v>
      </c>
      <c r="D313" t="n">
        <v>6</v>
      </c>
      <c r="E313" t="n">
        <v>0.38</v>
      </c>
      <c r="F313" t="n">
        <v>0.38</v>
      </c>
      <c r="G313" t="n">
        <v>364028645</v>
      </c>
      <c r="H313" t="n">
        <v>673647040</v>
      </c>
    </row>
    <row r="314">
      <c r="A314" t="inlineStr">
        <is>
          <t>normal_low_8</t>
        </is>
      </c>
      <c r="B314" t="n">
        <v>309</v>
      </c>
      <c r="C314" t="n">
        <v>749609439</v>
      </c>
      <c r="D314" t="n">
        <v>7</v>
      </c>
      <c r="E314" t="n">
        <v>1.45</v>
      </c>
      <c r="F314" t="n">
        <v>1.45</v>
      </c>
      <c r="G314" t="n">
        <v>673647041</v>
      </c>
      <c r="H314" t="n">
        <v>916596625</v>
      </c>
    </row>
    <row r="315">
      <c r="A315" t="inlineStr">
        <is>
          <t>normal_low_8</t>
        </is>
      </c>
      <c r="B315" t="n">
        <v>310</v>
      </c>
      <c r="C315" t="n">
        <v>999479251</v>
      </c>
      <c r="D315" t="n">
        <v>8</v>
      </c>
      <c r="E315" t="n">
        <v>5.6</v>
      </c>
      <c r="F315" t="n">
        <v>5.6</v>
      </c>
      <c r="G315" t="n">
        <v>916596626</v>
      </c>
      <c r="H315" t="n">
        <v>999479251</v>
      </c>
    </row>
    <row r="316">
      <c r="A316" t="inlineStr">
        <is>
          <t>normal_low_9</t>
        </is>
      </c>
      <c r="B316" t="n">
        <v>311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2791</v>
      </c>
    </row>
    <row r="317">
      <c r="A317" t="inlineStr">
        <is>
          <t>normal_low_9</t>
        </is>
      </c>
      <c r="B317" t="n">
        <v>312</v>
      </c>
      <c r="C317" t="n">
        <v>250028528</v>
      </c>
      <c r="D317" t="n">
        <v>6</v>
      </c>
      <c r="E317" t="n">
        <v>0.1</v>
      </c>
      <c r="F317" t="n">
        <v>0.1</v>
      </c>
      <c r="G317" t="n">
        <v>150161989</v>
      </c>
      <c r="H317" t="n">
        <v>375438183</v>
      </c>
    </row>
    <row r="318">
      <c r="A318" t="inlineStr">
        <is>
          <t>normal_low_9</t>
        </is>
      </c>
      <c r="B318" t="n">
        <v>313</v>
      </c>
      <c r="C318" t="n">
        <v>500057057</v>
      </c>
      <c r="D318" t="n">
        <v>7</v>
      </c>
      <c r="E318" t="n">
        <v>0.39</v>
      </c>
      <c r="F318" t="n">
        <v>0.39</v>
      </c>
      <c r="G318" t="n">
        <v>375438184</v>
      </c>
      <c r="H318" t="n">
        <v>678712843</v>
      </c>
    </row>
    <row r="319">
      <c r="A319" t="inlineStr">
        <is>
          <t>normal_low_9</t>
        </is>
      </c>
      <c r="B319" t="n">
        <v>314</v>
      </c>
      <c r="C319" t="n">
        <v>750085586</v>
      </c>
      <c r="D319" t="n">
        <v>8</v>
      </c>
      <c r="E319" t="n">
        <v>1.47</v>
      </c>
      <c r="F319" t="n">
        <v>1.47</v>
      </c>
      <c r="G319" t="n">
        <v>678712844</v>
      </c>
      <c r="H319" t="n">
        <v>916875540</v>
      </c>
    </row>
    <row r="320">
      <c r="A320" t="inlineStr">
        <is>
          <t>normal_low_9</t>
        </is>
      </c>
      <c r="B320" t="n">
        <v>315</v>
      </c>
      <c r="C320" t="n">
        <v>1000114114</v>
      </c>
      <c r="D320" t="n">
        <v>9</v>
      </c>
      <c r="E320" t="n">
        <v>5.6</v>
      </c>
      <c r="F320" t="n">
        <v>5.6</v>
      </c>
      <c r="G320" t="n">
        <v>916875541</v>
      </c>
      <c r="H320" t="n">
        <v>1000114114</v>
      </c>
    </row>
    <row r="321">
      <c r="A321" t="inlineStr">
        <is>
          <t>normal_medium_10</t>
        </is>
      </c>
      <c r="B321" t="n">
        <v>316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2579</v>
      </c>
    </row>
    <row r="322">
      <c r="A322" t="inlineStr">
        <is>
          <t>normal_medium_10</t>
        </is>
      </c>
      <c r="B322" t="n">
        <v>317</v>
      </c>
      <c r="C322" t="n">
        <v>249992239</v>
      </c>
      <c r="D322" t="n">
        <v>6</v>
      </c>
      <c r="E322" t="n">
        <v>0</v>
      </c>
      <c r="F322" t="n">
        <v>0</v>
      </c>
      <c r="G322" t="n">
        <v>112449448</v>
      </c>
      <c r="H322" t="n">
        <v>288131784</v>
      </c>
    </row>
    <row r="323">
      <c r="A323" t="inlineStr">
        <is>
          <t>normal_medium_10</t>
        </is>
      </c>
      <c r="B323" t="n">
        <v>318</v>
      </c>
      <c r="C323" t="n">
        <v>499984478</v>
      </c>
      <c r="D323" t="n">
        <v>7</v>
      </c>
      <c r="E323" t="n">
        <v>0</v>
      </c>
      <c r="F323" t="n">
        <v>0</v>
      </c>
      <c r="G323" t="n">
        <v>288131785</v>
      </c>
      <c r="H323" t="n">
        <v>551257679</v>
      </c>
    </row>
    <row r="324">
      <c r="A324" t="inlineStr">
        <is>
          <t>normal_medium_10</t>
        </is>
      </c>
      <c r="B324" t="n">
        <v>319</v>
      </c>
      <c r="C324" t="n">
        <v>749976717</v>
      </c>
      <c r="D324" t="n">
        <v>8</v>
      </c>
      <c r="E324" t="n">
        <v>0.02</v>
      </c>
      <c r="F324" t="n">
        <v>0.02</v>
      </c>
      <c r="G324" t="n">
        <v>551257680</v>
      </c>
      <c r="H324" t="n">
        <v>809881425</v>
      </c>
    </row>
    <row r="325">
      <c r="A325" t="inlineStr">
        <is>
          <t>normal_medium_10</t>
        </is>
      </c>
      <c r="B325" t="n">
        <v>320</v>
      </c>
      <c r="C325" t="n">
        <v>999968955</v>
      </c>
      <c r="D325" t="n">
        <v>10</v>
      </c>
      <c r="E325" t="n">
        <v>22</v>
      </c>
      <c r="F325" t="n">
        <v>22</v>
      </c>
      <c r="G325" t="n">
        <v>960517652</v>
      </c>
      <c r="H325" t="n">
        <v>999968955</v>
      </c>
    </row>
    <row r="326">
      <c r="A326" t="inlineStr">
        <is>
          <t>normal_medium_11</t>
        </is>
      </c>
      <c r="B326" t="n">
        <v>321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374</v>
      </c>
    </row>
    <row r="327">
      <c r="A327" t="inlineStr">
        <is>
          <t>normal_medium_11</t>
        </is>
      </c>
      <c r="B327" t="n">
        <v>322</v>
      </c>
      <c r="C327" t="n">
        <v>249988714</v>
      </c>
      <c r="D327" t="n">
        <v>7</v>
      </c>
      <c r="E327" t="n">
        <v>0</v>
      </c>
      <c r="F327" t="n">
        <v>0</v>
      </c>
      <c r="G327" t="n">
        <v>132157137</v>
      </c>
      <c r="H327" t="n">
        <v>315920394</v>
      </c>
    </row>
    <row r="328">
      <c r="A328" t="inlineStr">
        <is>
          <t>normal_medium_11</t>
        </is>
      </c>
      <c r="B328" t="n">
        <v>323</v>
      </c>
      <c r="C328" t="n">
        <v>499977428</v>
      </c>
      <c r="D328" t="n">
        <v>8</v>
      </c>
      <c r="E328" t="n">
        <v>0</v>
      </c>
      <c r="F328" t="n">
        <v>0</v>
      </c>
      <c r="G328" t="n">
        <v>315920395</v>
      </c>
      <c r="H328" t="n">
        <v>576779629</v>
      </c>
    </row>
    <row r="329">
      <c r="A329" t="inlineStr">
        <is>
          <t>normal_medium_11</t>
        </is>
      </c>
      <c r="B329" t="n">
        <v>324</v>
      </c>
      <c r="C329" t="n">
        <v>749966142</v>
      </c>
      <c r="D329" t="n">
        <v>9</v>
      </c>
      <c r="E329" t="n">
        <v>0.02</v>
      </c>
      <c r="F329" t="n">
        <v>0.02</v>
      </c>
      <c r="G329" t="n">
        <v>576779630</v>
      </c>
      <c r="H329" t="n">
        <v>823646317</v>
      </c>
    </row>
    <row r="330">
      <c r="A330" t="inlineStr">
        <is>
          <t>normal_medium_11</t>
        </is>
      </c>
      <c r="B330" t="n">
        <v>325</v>
      </c>
      <c r="C330" t="n">
        <v>999954855</v>
      </c>
      <c r="D330" t="n">
        <v>11</v>
      </c>
      <c r="E330" t="n">
        <v>24</v>
      </c>
      <c r="F330" t="n">
        <v>24</v>
      </c>
      <c r="G330" t="n">
        <v>963821141</v>
      </c>
      <c r="H330" t="n">
        <v>999954855</v>
      </c>
    </row>
    <row r="331">
      <c r="A331" t="inlineStr">
        <is>
          <t>normal_medium_12</t>
        </is>
      </c>
      <c r="B331" t="n">
        <v>326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102</v>
      </c>
    </row>
    <row r="332">
      <c r="A332" t="inlineStr">
        <is>
          <t>normal_medium_12</t>
        </is>
      </c>
      <c r="B332" t="n">
        <v>327</v>
      </c>
      <c r="C332" t="n">
        <v>250003438</v>
      </c>
      <c r="D332" t="n">
        <v>8</v>
      </c>
      <c r="E332" t="n">
        <v>0</v>
      </c>
      <c r="F332" t="n">
        <v>0</v>
      </c>
      <c r="G332" t="n">
        <v>182433126</v>
      </c>
      <c r="H332" t="n">
        <v>387279501</v>
      </c>
    </row>
    <row r="333">
      <c r="A333" t="inlineStr">
        <is>
          <t>normal_medium_12</t>
        </is>
      </c>
      <c r="B333" t="n">
        <v>328</v>
      </c>
      <c r="C333" t="n">
        <v>500006876</v>
      </c>
      <c r="D333" t="n">
        <v>9</v>
      </c>
      <c r="E333" t="n">
        <v>0</v>
      </c>
      <c r="F333" t="n">
        <v>0</v>
      </c>
      <c r="G333" t="n">
        <v>387279502</v>
      </c>
      <c r="H333" t="n">
        <v>644301917</v>
      </c>
    </row>
    <row r="334">
      <c r="A334" t="inlineStr">
        <is>
          <t>normal_medium_12</t>
        </is>
      </c>
      <c r="B334" t="n">
        <v>329</v>
      </c>
      <c r="C334" t="n">
        <v>750010314</v>
      </c>
      <c r="D334" t="n">
        <v>10</v>
      </c>
      <c r="E334" t="n">
        <v>0.02</v>
      </c>
      <c r="F334" t="n">
        <v>0.02</v>
      </c>
      <c r="G334" t="n">
        <v>644301918</v>
      </c>
      <c r="H334" t="n">
        <v>861981396</v>
      </c>
    </row>
    <row r="335">
      <c r="A335" t="inlineStr">
        <is>
          <t>normal_medium_12</t>
        </is>
      </c>
      <c r="B335" t="n">
        <v>330</v>
      </c>
      <c r="C335" t="n">
        <v>1000013751</v>
      </c>
      <c r="D335" t="n">
        <v>12</v>
      </c>
      <c r="E335" t="n">
        <v>33</v>
      </c>
      <c r="F335" t="n">
        <v>33</v>
      </c>
      <c r="G335" t="n">
        <v>973714030</v>
      </c>
      <c r="H335" t="n">
        <v>1000013751</v>
      </c>
    </row>
    <row r="336">
      <c r="A336" t="inlineStr">
        <is>
          <t>normal_medium_13</t>
        </is>
      </c>
      <c r="B336" t="n">
        <v>331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24</v>
      </c>
    </row>
    <row r="337">
      <c r="A337" t="inlineStr">
        <is>
          <t>normal_medium_13</t>
        </is>
      </c>
      <c r="B337" t="n">
        <v>332</v>
      </c>
      <c r="C337" t="n">
        <v>249996363</v>
      </c>
      <c r="D337" t="n">
        <v>9</v>
      </c>
      <c r="E337" t="n">
        <v>0</v>
      </c>
      <c r="F337" t="n">
        <v>0</v>
      </c>
      <c r="G337" t="n">
        <v>232173424</v>
      </c>
      <c r="H337" t="n">
        <v>449670958</v>
      </c>
    </row>
    <row r="338">
      <c r="A338" t="inlineStr">
        <is>
          <t>normal_medium_13</t>
        </is>
      </c>
      <c r="B338" t="n">
        <v>333</v>
      </c>
      <c r="C338" t="n">
        <v>499992727</v>
      </c>
      <c r="D338" t="n">
        <v>10</v>
      </c>
      <c r="E338" t="n">
        <v>0</v>
      </c>
      <c r="F338" t="n">
        <v>0</v>
      </c>
      <c r="G338" t="n">
        <v>449670959</v>
      </c>
      <c r="H338" t="n">
        <v>697127582</v>
      </c>
    </row>
    <row r="339">
      <c r="A339" t="inlineStr">
        <is>
          <t>normal_medium_13</t>
        </is>
      </c>
      <c r="B339" t="n">
        <v>334</v>
      </c>
      <c r="C339" t="n">
        <v>749989091</v>
      </c>
      <c r="D339" t="n">
        <v>11</v>
      </c>
      <c r="E339" t="n">
        <v>0.03</v>
      </c>
      <c r="F339" t="n">
        <v>0.03</v>
      </c>
      <c r="G339" t="n">
        <v>697127583</v>
      </c>
      <c r="H339" t="n">
        <v>889088318</v>
      </c>
    </row>
    <row r="340">
      <c r="A340" t="inlineStr">
        <is>
          <t>normal_medium_13</t>
        </is>
      </c>
      <c r="B340" t="n">
        <v>335</v>
      </c>
      <c r="C340" t="n">
        <v>999985454</v>
      </c>
      <c r="D340" t="n">
        <v>13</v>
      </c>
      <c r="E340" t="n">
        <v>43</v>
      </c>
      <c r="F340" t="n">
        <v>43</v>
      </c>
      <c r="G340" t="n">
        <v>980089265</v>
      </c>
      <c r="H340" t="n">
        <v>999985454</v>
      </c>
    </row>
    <row r="341">
      <c r="A341" t="inlineStr">
        <is>
          <t>normal_medium_14</t>
        </is>
      </c>
      <c r="B341" t="n">
        <v>336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15</v>
      </c>
    </row>
    <row r="342">
      <c r="A342" t="inlineStr">
        <is>
          <t>normal_medium_14</t>
        </is>
      </c>
      <c r="B342" t="n">
        <v>337</v>
      </c>
      <c r="C342" t="n">
        <v>250000108</v>
      </c>
      <c r="D342" t="n">
        <v>9</v>
      </c>
      <c r="E342" t="n">
        <v>0</v>
      </c>
      <c r="F342" t="n">
        <v>0</v>
      </c>
      <c r="G342" t="n">
        <v>166279575</v>
      </c>
      <c r="H342" t="n">
        <v>343033722</v>
      </c>
    </row>
    <row r="343">
      <c r="A343" t="inlineStr">
        <is>
          <t>normal_medium_14</t>
        </is>
      </c>
      <c r="B343" t="n">
        <v>338</v>
      </c>
      <c r="C343" t="n">
        <v>500000216</v>
      </c>
      <c r="D343" t="n">
        <v>10</v>
      </c>
      <c r="E343" t="n">
        <v>0</v>
      </c>
      <c r="F343" t="n">
        <v>0</v>
      </c>
      <c r="G343" t="n">
        <v>343033723</v>
      </c>
      <c r="H343" t="n">
        <v>573108858</v>
      </c>
    </row>
    <row r="344">
      <c r="A344" t="inlineStr">
        <is>
          <t>normal_medium_14</t>
        </is>
      </c>
      <c r="B344" t="n">
        <v>339</v>
      </c>
      <c r="C344" t="n">
        <v>750000324</v>
      </c>
      <c r="D344" t="n">
        <v>11</v>
      </c>
      <c r="E344" t="n">
        <v>0.04</v>
      </c>
      <c r="F344" t="n">
        <v>0.04</v>
      </c>
      <c r="G344" t="n">
        <v>573108859</v>
      </c>
      <c r="H344" t="n">
        <v>790913465</v>
      </c>
    </row>
    <row r="345">
      <c r="A345" t="inlineStr">
        <is>
          <t>normal_medium_14</t>
        </is>
      </c>
      <c r="B345" t="n">
        <v>340</v>
      </c>
      <c r="C345" t="n">
        <v>1000000431</v>
      </c>
      <c r="D345" t="n">
        <v>14</v>
      </c>
      <c r="E345" t="n">
        <v>58</v>
      </c>
      <c r="F345" t="n">
        <v>58</v>
      </c>
      <c r="G345" t="n">
        <v>989442627</v>
      </c>
      <c r="H345" t="n">
        <v>1000000431</v>
      </c>
    </row>
    <row r="346">
      <c r="A346" t="inlineStr">
        <is>
          <t>normal_medium_15</t>
        </is>
      </c>
      <c r="B346" t="n">
        <v>341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19</v>
      </c>
    </row>
    <row r="347">
      <c r="A347" t="inlineStr">
        <is>
          <t>normal_medium_15</t>
        </is>
      </c>
      <c r="B347" t="n">
        <v>342</v>
      </c>
      <c r="C347" t="n">
        <v>249998737</v>
      </c>
      <c r="D347" t="n">
        <v>9</v>
      </c>
      <c r="E347" t="n">
        <v>0</v>
      </c>
      <c r="F347" t="n">
        <v>0</v>
      </c>
      <c r="G347" t="n">
        <v>144734103</v>
      </c>
      <c r="H347" t="n">
        <v>299172014</v>
      </c>
    </row>
    <row r="348">
      <c r="A348" t="inlineStr">
        <is>
          <t>normal_medium_15</t>
        </is>
      </c>
      <c r="B348" t="n">
        <v>343</v>
      </c>
      <c r="C348" t="n">
        <v>499997475</v>
      </c>
      <c r="D348" t="n">
        <v>10</v>
      </c>
      <c r="E348" t="n">
        <v>0.01</v>
      </c>
      <c r="F348" t="n">
        <v>0.01</v>
      </c>
      <c r="G348" t="n">
        <v>299172015</v>
      </c>
      <c r="H348" t="n">
        <v>508369774</v>
      </c>
    </row>
    <row r="349">
      <c r="A349" t="inlineStr">
        <is>
          <t>normal_medium_15</t>
        </is>
      </c>
      <c r="B349" t="n">
        <v>344</v>
      </c>
      <c r="C349" t="n">
        <v>749996212</v>
      </c>
      <c r="D349" t="n">
        <v>12</v>
      </c>
      <c r="E349" t="n">
        <v>0.31</v>
      </c>
      <c r="F349" t="n">
        <v>0.31</v>
      </c>
      <c r="G349" t="n">
        <v>723047115</v>
      </c>
      <c r="H349" t="n">
        <v>884600777</v>
      </c>
    </row>
    <row r="350">
      <c r="A350" t="inlineStr">
        <is>
          <t>normal_medium_15</t>
        </is>
      </c>
      <c r="B350" t="n">
        <v>345</v>
      </c>
      <c r="C350" t="n">
        <v>999994949</v>
      </c>
      <c r="D350" t="n">
        <v>15</v>
      </c>
      <c r="E350" t="n">
        <v>88</v>
      </c>
      <c r="F350" t="n">
        <v>88</v>
      </c>
      <c r="G350" t="n">
        <v>995914352</v>
      </c>
      <c r="H350" t="n">
        <v>999994949</v>
      </c>
    </row>
    <row r="351">
      <c r="A351" t="inlineStr">
        <is>
          <t>normal_medium_16</t>
        </is>
      </c>
      <c r="B351" t="n">
        <v>346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8</v>
      </c>
    </row>
    <row r="352">
      <c r="A352" t="inlineStr">
        <is>
          <t>normal_medium_16</t>
        </is>
      </c>
      <c r="B352" t="n">
        <v>347</v>
      </c>
      <c r="C352" t="n">
        <v>250002687</v>
      </c>
      <c r="D352" t="n">
        <v>10</v>
      </c>
      <c r="E352" t="n">
        <v>0</v>
      </c>
      <c r="F352" t="n">
        <v>0</v>
      </c>
      <c r="G352" t="n">
        <v>210977858</v>
      </c>
      <c r="H352" t="n">
        <v>388461494</v>
      </c>
    </row>
    <row r="353">
      <c r="A353" t="inlineStr">
        <is>
          <t>normal_medium_16</t>
        </is>
      </c>
      <c r="B353" t="n">
        <v>348</v>
      </c>
      <c r="C353" t="n">
        <v>500005374</v>
      </c>
      <c r="D353" t="n">
        <v>11</v>
      </c>
      <c r="E353" t="n">
        <v>0.02</v>
      </c>
      <c r="F353" t="n">
        <v>0.02</v>
      </c>
      <c r="G353" t="n">
        <v>388461495</v>
      </c>
      <c r="H353" t="n">
        <v>599554206</v>
      </c>
    </row>
    <row r="354">
      <c r="A354" t="inlineStr">
        <is>
          <t>normal_medium_16</t>
        </is>
      </c>
      <c r="B354" t="n">
        <v>349</v>
      </c>
      <c r="C354" t="n">
        <v>750008061</v>
      </c>
      <c r="D354" t="n">
        <v>12</v>
      </c>
      <c r="E354" t="n">
        <v>0.13</v>
      </c>
      <c r="F354" t="n">
        <v>0.13</v>
      </c>
      <c r="G354" t="n">
        <v>599554207</v>
      </c>
      <c r="H354" t="n">
        <v>791340847</v>
      </c>
    </row>
    <row r="355">
      <c r="A355" t="inlineStr">
        <is>
          <t>normal_medium_16</t>
        </is>
      </c>
      <c r="B355" t="n">
        <v>350</v>
      </c>
      <c r="C355" t="n">
        <v>1000010747</v>
      </c>
      <c r="D355" t="n">
        <v>16</v>
      </c>
      <c r="E355" t="n">
        <v>110</v>
      </c>
      <c r="F355" t="n">
        <v>110</v>
      </c>
      <c r="G355" t="n">
        <v>997617831</v>
      </c>
      <c r="H355" t="n">
        <v>1000010747</v>
      </c>
    </row>
    <row r="356">
      <c r="A356" t="inlineStr">
        <is>
          <t>normal_medium_8</t>
        </is>
      </c>
      <c r="B356" t="n">
        <v>351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45654</v>
      </c>
    </row>
    <row r="357">
      <c r="A357" t="inlineStr">
        <is>
          <t>normal_medium_8</t>
        </is>
      </c>
      <c r="B357" t="n">
        <v>352</v>
      </c>
      <c r="C357" t="n">
        <v>250002569</v>
      </c>
      <c r="D357" t="n">
        <v>5</v>
      </c>
      <c r="E357" t="n">
        <v>0</v>
      </c>
      <c r="F357" t="n">
        <v>0</v>
      </c>
      <c r="G357" t="n">
        <v>170676084</v>
      </c>
      <c r="H357" t="n">
        <v>414367654</v>
      </c>
    </row>
    <row r="358">
      <c r="A358" t="inlineStr">
        <is>
          <t>normal_medium_8</t>
        </is>
      </c>
      <c r="B358" t="n">
        <v>353</v>
      </c>
      <c r="C358" t="n">
        <v>500005139</v>
      </c>
      <c r="D358" t="n">
        <v>6</v>
      </c>
      <c r="E358" t="n">
        <v>0.01</v>
      </c>
      <c r="F358" t="n">
        <v>0.01</v>
      </c>
      <c r="G358" t="n">
        <v>414367655</v>
      </c>
      <c r="H358" t="n">
        <v>717507705</v>
      </c>
    </row>
    <row r="359">
      <c r="A359" t="inlineStr">
        <is>
          <t>normal_medium_8</t>
        </is>
      </c>
      <c r="B359" t="n">
        <v>354</v>
      </c>
      <c r="C359" t="n">
        <v>750007708</v>
      </c>
      <c r="D359" t="n">
        <v>7</v>
      </c>
      <c r="E359" t="n">
        <v>0.4</v>
      </c>
      <c r="F359" t="n">
        <v>0.4</v>
      </c>
      <c r="G359" t="n">
        <v>717507706</v>
      </c>
      <c r="H359" t="n">
        <v>932988258</v>
      </c>
    </row>
    <row r="360">
      <c r="A360" t="inlineStr">
        <is>
          <t>normal_medium_8</t>
        </is>
      </c>
      <c r="B360" t="n">
        <v>355</v>
      </c>
      <c r="C360" t="n">
        <v>1000010277</v>
      </c>
      <c r="D360" t="n">
        <v>8</v>
      </c>
      <c r="E360" t="n">
        <v>13</v>
      </c>
      <c r="F360" t="n">
        <v>13</v>
      </c>
      <c r="G360" t="n">
        <v>932988259</v>
      </c>
      <c r="H360" t="n">
        <v>1000010277</v>
      </c>
    </row>
    <row r="361">
      <c r="A361" t="inlineStr">
        <is>
          <t>normal_medium_9</t>
        </is>
      </c>
      <c r="B361" t="n">
        <v>356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12752</v>
      </c>
    </row>
    <row r="362">
      <c r="A362" t="inlineStr">
        <is>
          <t>normal_medium_9</t>
        </is>
      </c>
      <c r="B362" t="n">
        <v>357</v>
      </c>
      <c r="C362" t="n">
        <v>250018751</v>
      </c>
      <c r="D362" t="n">
        <v>6</v>
      </c>
      <c r="E362" t="n">
        <v>0</v>
      </c>
      <c r="F362" t="n">
        <v>0</v>
      </c>
      <c r="G362" t="n">
        <v>238728553</v>
      </c>
      <c r="H362" t="n">
        <v>499016918</v>
      </c>
    </row>
    <row r="363">
      <c r="A363" t="inlineStr">
        <is>
          <t>normal_medium_9</t>
        </is>
      </c>
      <c r="B363" t="n">
        <v>358</v>
      </c>
      <c r="C363" t="n">
        <v>500037503</v>
      </c>
      <c r="D363" t="n">
        <v>7</v>
      </c>
      <c r="E363" t="n">
        <v>0.01</v>
      </c>
      <c r="F363" t="n">
        <v>0.01</v>
      </c>
      <c r="G363" t="n">
        <v>499016919</v>
      </c>
      <c r="H363" t="n">
        <v>777675538</v>
      </c>
    </row>
    <row r="364">
      <c r="A364" t="inlineStr">
        <is>
          <t>normal_medium_9</t>
        </is>
      </c>
      <c r="B364" t="n">
        <v>359</v>
      </c>
      <c r="C364" t="n">
        <v>750056255</v>
      </c>
      <c r="D364" t="n">
        <v>7</v>
      </c>
      <c r="E364" t="n">
        <v>0.01</v>
      </c>
      <c r="F364" t="n">
        <v>0.01</v>
      </c>
      <c r="G364" t="n">
        <v>499016919</v>
      </c>
      <c r="H364" t="n">
        <v>777675538</v>
      </c>
    </row>
    <row r="365">
      <c r="A365" t="inlineStr">
        <is>
          <t>normal_medium_9</t>
        </is>
      </c>
      <c r="B365" t="n">
        <v>360</v>
      </c>
      <c r="C365" t="n">
        <v>1000075006</v>
      </c>
      <c r="D365" t="n">
        <v>9</v>
      </c>
      <c r="E365" t="n">
        <v>18</v>
      </c>
      <c r="F365" t="n">
        <v>18</v>
      </c>
      <c r="G365" t="n">
        <v>951698680</v>
      </c>
      <c r="H365" t="n">
        <v>1000075006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2026-06-23T12:50:32Z</dcterms:created>
  <dcterms:modified xmlns:dcterms="http://purl.org/dc/terms/" xmlns:xsi="http://www.w3.org/2001/XMLSchema-instance" xsi:type="dcterms:W3CDTF">2026-06-23T12:50:32Z</dcterms:modified>
</cp:coreProperties>
</file>