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_low_8" sheetId="1" state="visible" r:id="rId1"/>
    <sheet xmlns:r="http://schemas.openxmlformats.org/officeDocument/2006/relationships" name="buy100_low_8" sheetId="2" state="visible" r:id="rId2"/>
    <sheet xmlns:r="http://schemas.openxmlformats.org/officeDocument/2006/relationships" name="normal_medium_8" sheetId="3" state="visible" r:id="rId3"/>
    <sheet xmlns:r="http://schemas.openxmlformats.org/officeDocument/2006/relationships" name="buy100_medium_8" sheetId="4" state="visible" r:id="rId4"/>
    <sheet xmlns:r="http://schemas.openxmlformats.org/officeDocument/2006/relationships" name="normal_high_8" sheetId="5" state="visible" r:id="rId5"/>
    <sheet xmlns:r="http://schemas.openxmlformats.org/officeDocument/2006/relationships" name="buy100_high_8" sheetId="6" state="visible" r:id="rId6"/>
    <sheet xmlns:r="http://schemas.openxmlformats.org/officeDocument/2006/relationships" name="normal_expert_8" sheetId="7" state="visible" r:id="rId7"/>
    <sheet xmlns:r="http://schemas.openxmlformats.org/officeDocument/2006/relationships" name="buy100_expert_8" sheetId="8" state="visible" r:id="rId8"/>
    <sheet xmlns:r="http://schemas.openxmlformats.org/officeDocument/2006/relationships" name="normal_low_9" sheetId="9" state="visible" r:id="rId9"/>
    <sheet xmlns:r="http://schemas.openxmlformats.org/officeDocument/2006/relationships" name="buy100_low_9" sheetId="10" state="visible" r:id="rId10"/>
    <sheet xmlns:r="http://schemas.openxmlformats.org/officeDocument/2006/relationships" name="normal_medium_9" sheetId="11" state="visible" r:id="rId11"/>
    <sheet xmlns:r="http://schemas.openxmlformats.org/officeDocument/2006/relationships" name="buy100_medium_9" sheetId="12" state="visible" r:id="rId12"/>
    <sheet xmlns:r="http://schemas.openxmlformats.org/officeDocument/2006/relationships" name="normal_high_9" sheetId="13" state="visible" r:id="rId13"/>
    <sheet xmlns:r="http://schemas.openxmlformats.org/officeDocument/2006/relationships" name="buy100_high_9" sheetId="14" state="visible" r:id="rId14"/>
    <sheet xmlns:r="http://schemas.openxmlformats.org/officeDocument/2006/relationships" name="normal_expert_9" sheetId="15" state="visible" r:id="rId15"/>
    <sheet xmlns:r="http://schemas.openxmlformats.org/officeDocument/2006/relationships" name="buy100_expert_9" sheetId="16" state="visible" r:id="rId16"/>
    <sheet xmlns:r="http://schemas.openxmlformats.org/officeDocument/2006/relationships" name="normal_low_10" sheetId="17" state="visible" r:id="rId17"/>
    <sheet xmlns:r="http://schemas.openxmlformats.org/officeDocument/2006/relationships" name="buy100_low_10" sheetId="18" state="visible" r:id="rId18"/>
    <sheet xmlns:r="http://schemas.openxmlformats.org/officeDocument/2006/relationships" name="normal_medium_10" sheetId="19" state="visible" r:id="rId19"/>
    <sheet xmlns:r="http://schemas.openxmlformats.org/officeDocument/2006/relationships" name="buy100_medium_10" sheetId="20" state="visible" r:id="rId20"/>
    <sheet xmlns:r="http://schemas.openxmlformats.org/officeDocument/2006/relationships" name="normal_high_10" sheetId="21" state="visible" r:id="rId21"/>
    <sheet xmlns:r="http://schemas.openxmlformats.org/officeDocument/2006/relationships" name="buy100_high_10" sheetId="22" state="visible" r:id="rId22"/>
    <sheet xmlns:r="http://schemas.openxmlformats.org/officeDocument/2006/relationships" name="normal_expert_10" sheetId="23" state="visible" r:id="rId23"/>
    <sheet xmlns:r="http://schemas.openxmlformats.org/officeDocument/2006/relationships" name="buy100_expert_10" sheetId="24" state="visible" r:id="rId24"/>
    <sheet xmlns:r="http://schemas.openxmlformats.org/officeDocument/2006/relationships" name="normal_low_11" sheetId="25" state="visible" r:id="rId25"/>
    <sheet xmlns:r="http://schemas.openxmlformats.org/officeDocument/2006/relationships" name="buy100_low_11" sheetId="26" state="visible" r:id="rId26"/>
    <sheet xmlns:r="http://schemas.openxmlformats.org/officeDocument/2006/relationships" name="normal_medium_11" sheetId="27" state="visible" r:id="rId27"/>
    <sheet xmlns:r="http://schemas.openxmlformats.org/officeDocument/2006/relationships" name="buy100_medium_11" sheetId="28" state="visible" r:id="rId28"/>
    <sheet xmlns:r="http://schemas.openxmlformats.org/officeDocument/2006/relationships" name="normal_high_11" sheetId="29" state="visible" r:id="rId29"/>
    <sheet xmlns:r="http://schemas.openxmlformats.org/officeDocument/2006/relationships" name="buy100_high_11" sheetId="30" state="visible" r:id="rId30"/>
    <sheet xmlns:r="http://schemas.openxmlformats.org/officeDocument/2006/relationships" name="normal_expert_11" sheetId="31" state="visible" r:id="rId31"/>
    <sheet xmlns:r="http://schemas.openxmlformats.org/officeDocument/2006/relationships" name="buy100_expert_11" sheetId="32" state="visible" r:id="rId32"/>
    <sheet xmlns:r="http://schemas.openxmlformats.org/officeDocument/2006/relationships" name="normal_low_12" sheetId="33" state="visible" r:id="rId33"/>
    <sheet xmlns:r="http://schemas.openxmlformats.org/officeDocument/2006/relationships" name="buy100_low_12" sheetId="34" state="visible" r:id="rId34"/>
    <sheet xmlns:r="http://schemas.openxmlformats.org/officeDocument/2006/relationships" name="normal_medium_12" sheetId="35" state="visible" r:id="rId35"/>
    <sheet xmlns:r="http://schemas.openxmlformats.org/officeDocument/2006/relationships" name="buy100_medium_12" sheetId="36" state="visible" r:id="rId36"/>
    <sheet xmlns:r="http://schemas.openxmlformats.org/officeDocument/2006/relationships" name="normal_high_12" sheetId="37" state="visible" r:id="rId37"/>
    <sheet xmlns:r="http://schemas.openxmlformats.org/officeDocument/2006/relationships" name="buy100_high_12" sheetId="38" state="visible" r:id="rId38"/>
    <sheet xmlns:r="http://schemas.openxmlformats.org/officeDocument/2006/relationships" name="normal_expert_12" sheetId="39" state="visible" r:id="rId39"/>
    <sheet xmlns:r="http://schemas.openxmlformats.org/officeDocument/2006/relationships" name="buy100_expert_12" sheetId="40" state="visible" r:id="rId40"/>
    <sheet xmlns:r="http://schemas.openxmlformats.org/officeDocument/2006/relationships" name="normal_low_13" sheetId="41" state="visible" r:id="rId41"/>
    <sheet xmlns:r="http://schemas.openxmlformats.org/officeDocument/2006/relationships" name="buy100_low_13" sheetId="42" state="visible" r:id="rId42"/>
    <sheet xmlns:r="http://schemas.openxmlformats.org/officeDocument/2006/relationships" name="normal_medium_13" sheetId="43" state="visible" r:id="rId43"/>
    <sheet xmlns:r="http://schemas.openxmlformats.org/officeDocument/2006/relationships" name="buy100_medium_13" sheetId="44" state="visible" r:id="rId44"/>
    <sheet xmlns:r="http://schemas.openxmlformats.org/officeDocument/2006/relationships" name="normal_high_13" sheetId="45" state="visible" r:id="rId45"/>
    <sheet xmlns:r="http://schemas.openxmlformats.org/officeDocument/2006/relationships" name="buy100_high_13" sheetId="46" state="visible" r:id="rId46"/>
    <sheet xmlns:r="http://schemas.openxmlformats.org/officeDocument/2006/relationships" name="normal_expert_13" sheetId="47" state="visible" r:id="rId47"/>
    <sheet xmlns:r="http://schemas.openxmlformats.org/officeDocument/2006/relationships" name="buy100_expert_13" sheetId="48" state="visible" r:id="rId48"/>
    <sheet xmlns:r="http://schemas.openxmlformats.org/officeDocument/2006/relationships" name="normal_low_14" sheetId="49" state="visible" r:id="rId49"/>
    <sheet xmlns:r="http://schemas.openxmlformats.org/officeDocument/2006/relationships" name="buy100_low_14" sheetId="50" state="visible" r:id="rId50"/>
    <sheet xmlns:r="http://schemas.openxmlformats.org/officeDocument/2006/relationships" name="normal_medium_14" sheetId="51" state="visible" r:id="rId51"/>
    <sheet xmlns:r="http://schemas.openxmlformats.org/officeDocument/2006/relationships" name="buy100_medium_14" sheetId="52" state="visible" r:id="rId52"/>
    <sheet xmlns:r="http://schemas.openxmlformats.org/officeDocument/2006/relationships" name="normal_high_14" sheetId="53" state="visible" r:id="rId53"/>
    <sheet xmlns:r="http://schemas.openxmlformats.org/officeDocument/2006/relationships" name="buy100_high_14" sheetId="54" state="visible" r:id="rId54"/>
    <sheet xmlns:r="http://schemas.openxmlformats.org/officeDocument/2006/relationships" name="normal_expert_14" sheetId="55" state="visible" r:id="rId55"/>
    <sheet xmlns:r="http://schemas.openxmlformats.org/officeDocument/2006/relationships" name="buy100_expert_14" sheetId="56" state="visible" r:id="rId56"/>
    <sheet xmlns:r="http://schemas.openxmlformats.org/officeDocument/2006/relationships" name="normal_low_15" sheetId="57" state="visible" r:id="rId57"/>
    <sheet xmlns:r="http://schemas.openxmlformats.org/officeDocument/2006/relationships" name="buy100_low_15" sheetId="58" state="visible" r:id="rId58"/>
    <sheet xmlns:r="http://schemas.openxmlformats.org/officeDocument/2006/relationships" name="normal_medium_15" sheetId="59" state="visible" r:id="rId59"/>
    <sheet xmlns:r="http://schemas.openxmlformats.org/officeDocument/2006/relationships" name="buy100_medium_15" sheetId="60" state="visible" r:id="rId60"/>
    <sheet xmlns:r="http://schemas.openxmlformats.org/officeDocument/2006/relationships" name="normal_high_15" sheetId="61" state="visible" r:id="rId61"/>
    <sheet xmlns:r="http://schemas.openxmlformats.org/officeDocument/2006/relationships" name="buy100_high_15" sheetId="62" state="visible" r:id="rId62"/>
    <sheet xmlns:r="http://schemas.openxmlformats.org/officeDocument/2006/relationships" name="normal_expert_15" sheetId="63" state="visible" r:id="rId63"/>
    <sheet xmlns:r="http://schemas.openxmlformats.org/officeDocument/2006/relationships" name="buy100_expert_15" sheetId="64" state="visible" r:id="rId64"/>
    <sheet xmlns:r="http://schemas.openxmlformats.org/officeDocument/2006/relationships" name="normal_low_16" sheetId="65" state="visible" r:id="rId65"/>
    <sheet xmlns:r="http://schemas.openxmlformats.org/officeDocument/2006/relationships" name="buy100_low_16" sheetId="66" state="visible" r:id="rId66"/>
    <sheet xmlns:r="http://schemas.openxmlformats.org/officeDocument/2006/relationships" name="normal_medium_16" sheetId="67" state="visible" r:id="rId67"/>
    <sheet xmlns:r="http://schemas.openxmlformats.org/officeDocument/2006/relationships" name="buy100_medium_16" sheetId="68" state="visible" r:id="rId68"/>
    <sheet xmlns:r="http://schemas.openxmlformats.org/officeDocument/2006/relationships" name="normal_high_16" sheetId="69" state="visible" r:id="rId69"/>
    <sheet xmlns:r="http://schemas.openxmlformats.org/officeDocument/2006/relationships" name="buy100_high_16" sheetId="70" state="visible" r:id="rId70"/>
    <sheet xmlns:r="http://schemas.openxmlformats.org/officeDocument/2006/relationships" name="normal_expert_16" sheetId="71" state="visible" r:id="rId71"/>
    <sheet xmlns:r="http://schemas.openxmlformats.org/officeDocument/2006/relationships" name="buy100_expert_16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241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90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43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22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43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47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90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241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23843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8941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4684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4258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2129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4258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4684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8941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23843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309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71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31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17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9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17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31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71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309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30564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7053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3056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1646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940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1646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3056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7053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30564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359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50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19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19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50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359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35556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4904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1839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368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245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368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1839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4904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35556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387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35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8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8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35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387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buy100_expert_8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38401</v>
      </c>
      <c r="D7" s="7">
        <f>C7/$H$3</f>
        <v/>
      </c>
      <c r="E7" s="5">
        <f>IF($B$19&gt;0,B7/$B$19,0)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3533</v>
      </c>
      <c r="D8" s="7">
        <f>C8/$H$3</f>
        <v/>
      </c>
      <c r="E8" s="5">
        <f>IF($B$19&gt;0,B8/$B$19,0)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845</v>
      </c>
      <c r="D9" s="7">
        <f>C9/$H$3</f>
        <v/>
      </c>
      <c r="E9" s="5">
        <f>IF($B$19&gt;0,B9/$B$19,0)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8</v>
      </c>
      <c r="D10" s="7">
        <f>C10/$H$3</f>
        <v/>
      </c>
      <c r="E10" s="5">
        <f>IF($B$19&gt;0,B10/$B$19,0)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8</v>
      </c>
      <c r="D11" s="7">
        <f>C11/$H$3</f>
        <v/>
      </c>
      <c r="E11" s="5">
        <f>IF($B$19&gt;0,B11/$B$19,0)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</v>
      </c>
      <c r="D12" s="7">
        <f>C12/$H$3</f>
        <v/>
      </c>
      <c r="E12" s="5">
        <f>IF($B$19&gt;0,B12/$B$19,0)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845</v>
      </c>
      <c r="D13" s="7">
        <f>C13/$H$3</f>
        <v/>
      </c>
      <c r="E13" s="5">
        <f>IF($B$19&gt;0,B13/$B$19,0)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3533</v>
      </c>
      <c r="D14" s="7">
        <f>C14/$H$3</f>
        <v/>
      </c>
      <c r="E14" s="5">
        <f>IF($B$19&gt;0,B14/$B$19,0)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38401</v>
      </c>
      <c r="D15" s="7">
        <f>C15/$H$3</f>
        <v/>
      </c>
      <c r="E15" s="5">
        <f>IF($B$19&gt;0,B15/$B$19,0)</f>
        <v/>
      </c>
      <c r="F15" s="5">
        <f>D15*E15</f>
        <v/>
      </c>
      <c r="G15" s="5">
        <f>G14+E15</f>
        <v/>
      </c>
    </row>
    <row r="18">
      <c r="A18" s="3" t="inlineStr">
        <is>
          <t>Summary</t>
        </is>
      </c>
    </row>
    <row r="19">
      <c r="A19" t="inlineStr">
        <is>
          <t>Total Weight</t>
        </is>
      </c>
      <c r="B19">
        <f>SUM(B7:B15)</f>
        <v/>
      </c>
    </row>
    <row r="20">
      <c r="A20" t="inlineStr">
        <is>
          <t>Expected Value</t>
        </is>
      </c>
      <c r="B20" s="5">
        <f>SUMPRODUCT(C7:C15,B7:B15)/B19</f>
        <v/>
      </c>
    </row>
    <row r="21">
      <c r="A21" t="inlineStr">
        <is>
          <t>RTP (vs Cost)</t>
        </is>
      </c>
      <c r="B21" s="8">
        <f>B20/100/$B$3</f>
        <v/>
      </c>
    </row>
    <row r="22">
      <c r="A22" t="inlineStr">
        <is>
          <t>RTP Check</t>
        </is>
      </c>
      <c r="B22" s="3">
        <f>IF(AND(B21&gt;=$D$3-$F$3, B21&lt;=$D$3+$F$3), "PASS", "FAIL")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247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88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70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44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31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31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44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70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88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247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24427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8724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6979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4362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3053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3053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4362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6979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8724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24427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344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77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33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17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10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10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17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33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77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344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34096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7577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3220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1705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947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947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1705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3220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7577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34096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391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64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18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64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391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38720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6303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1801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540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180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180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540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1801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6303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38720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438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33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6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33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438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buy100_expert_9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43487</v>
      </c>
      <c r="D7" s="7">
        <f>C7/$H$3</f>
        <v/>
      </c>
      <c r="E7" s="5">
        <f>IF($B$20&gt;0,B7/$B$20,0)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3392</v>
      </c>
      <c r="D8" s="7">
        <f>C8/$H$3</f>
        <v/>
      </c>
      <c r="E8" s="5">
        <f>IF($B$20&gt;0,B8/$B$20,0)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652</v>
      </c>
      <c r="D9" s="7">
        <f>C9/$H$3</f>
        <v/>
      </c>
      <c r="E9" s="5">
        <f>IF($B$20&gt;0,B9/$B$20,0)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9</v>
      </c>
      <c r="D10" s="7">
        <f>C10/$H$3</f>
        <v/>
      </c>
      <c r="E10" s="5">
        <f>IF($B$20&gt;0,B10/$B$20,0)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4</v>
      </c>
      <c r="D11" s="7">
        <f>C11/$H$3</f>
        <v/>
      </c>
      <c r="E11" s="5">
        <f>IF($B$20&gt;0,B11/$B$20,0)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</v>
      </c>
      <c r="D12" s="7">
        <f>C12/$H$3</f>
        <v/>
      </c>
      <c r="E12" s="5">
        <f>IF($B$20&gt;0,B12/$B$20,0)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9</v>
      </c>
      <c r="D13" s="7">
        <f>C13/$H$3</f>
        <v/>
      </c>
      <c r="E13" s="5">
        <f>IF($B$20&gt;0,B13/$B$20,0)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652</v>
      </c>
      <c r="D14" s="7">
        <f>C14/$H$3</f>
        <v/>
      </c>
      <c r="E14" s="5">
        <f>IF($B$20&gt;0,B14/$B$20,0)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3392</v>
      </c>
      <c r="D15" s="7">
        <f>C15/$H$3</f>
        <v/>
      </c>
      <c r="E15" s="5">
        <f>IF($B$20&gt;0,B15/$B$20,0)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43487</v>
      </c>
      <c r="D16" s="7">
        <f>C16/$H$3</f>
        <v/>
      </c>
      <c r="E16" s="5">
        <f>IF($B$20&gt;0,B16/$B$20,0)</f>
        <v/>
      </c>
      <c r="F16" s="5">
        <f>D16*E16</f>
        <v/>
      </c>
      <c r="G16" s="5">
        <f>G15+E16</f>
        <v/>
      </c>
    </row>
    <row r="19">
      <c r="A19" s="3" t="inlineStr">
        <is>
          <t>Summary</t>
        </is>
      </c>
    </row>
    <row r="20">
      <c r="A20" t="inlineStr">
        <is>
          <t>Total Weight</t>
        </is>
      </c>
      <c r="B20">
        <f>SUM(B7:B16)</f>
        <v/>
      </c>
    </row>
    <row r="21">
      <c r="A21" t="inlineStr">
        <is>
          <t>Expected Value</t>
        </is>
      </c>
      <c r="B21" s="5">
        <f>SUMPRODUCT(C7:C16,B7:B16)/B20</f>
        <v/>
      </c>
    </row>
    <row r="22">
      <c r="A22" t="inlineStr">
        <is>
          <t>RTP (vs Cost)</t>
        </is>
      </c>
      <c r="B22" s="8">
        <f>B21/100/$B$3</f>
        <v/>
      </c>
    </row>
    <row r="23">
      <c r="A23" t="inlineStr">
        <is>
          <t>RTP Check</t>
        </is>
      </c>
      <c r="B23" s="3">
        <f>IF(AND(B22&gt;=$D$3-$F$3, B22&lt;=$D$3+$F$3), "PASS", "FAIL")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300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101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37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34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17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34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37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47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101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300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29742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10025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4679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3676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3342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1671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3342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3676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4679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10025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29742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373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85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34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24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10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10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24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34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85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373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36878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8381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3353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2347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1006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671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1006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2347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3353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8381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36878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445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59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5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18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59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445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44017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5792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1738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521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174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116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174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521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1738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5792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44017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495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26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26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495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buy100_expert_10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46305</v>
      </c>
      <c r="D7" s="7">
        <f>C7/$H$3</f>
        <v/>
      </c>
      <c r="E7" s="5">
        <f>IF($B$21&gt;0,B7/$B$21,0)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5043</v>
      </c>
      <c r="D8" s="7">
        <f>C8/$H$3</f>
        <v/>
      </c>
      <c r="E8" s="5">
        <f>IF($B$21&gt;0,B8/$B$21,0)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917</v>
      </c>
      <c r="D9" s="7">
        <f>C9/$H$3</f>
        <v/>
      </c>
      <c r="E9" s="5">
        <f>IF($B$21&gt;0,B9/$B$21,0)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28</v>
      </c>
      <c r="D10" s="7">
        <f>C10/$H$3</f>
        <v/>
      </c>
      <c r="E10" s="5">
        <f>IF($B$21&gt;0,B10/$B$21,0)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5</v>
      </c>
      <c r="D11" s="7">
        <f>C11/$H$3</f>
        <v/>
      </c>
      <c r="E11" s="5">
        <f>IF($B$21&gt;0,B11/$B$21,0)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5</v>
      </c>
      <c r="D12" s="7">
        <f>C12/$H$3</f>
        <v/>
      </c>
      <c r="E12" s="5">
        <f>IF($B$21&gt;0,B12/$B$21,0)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IF($B$21&gt;0,B13/$B$21,0)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28</v>
      </c>
      <c r="D14" s="7">
        <f>C14/$H$3</f>
        <v/>
      </c>
      <c r="E14" s="5">
        <f>IF($B$21&gt;0,B14/$B$21,0)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917</v>
      </c>
      <c r="D15" s="7">
        <f>C15/$H$3</f>
        <v/>
      </c>
      <c r="E15" s="5">
        <f>IF($B$21&gt;0,B15/$B$21,0)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5043</v>
      </c>
      <c r="D16" s="7">
        <f>C16/$H$3</f>
        <v/>
      </c>
      <c r="E16" s="5">
        <f>IF($B$21&gt;0,B16/$B$21,0)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46305</v>
      </c>
      <c r="D17" s="7">
        <f>C17/$H$3</f>
        <v/>
      </c>
      <c r="E17" s="5">
        <f>IF($B$21&gt;0,B17/$B$21,0)</f>
        <v/>
      </c>
      <c r="F17" s="5">
        <f>D17*E17</f>
        <v/>
      </c>
      <c r="G17" s="5">
        <f>G16+E17</f>
        <v/>
      </c>
    </row>
    <row r="20">
      <c r="A20" s="3" t="inlineStr">
        <is>
          <t>Summary</t>
        </is>
      </c>
    </row>
    <row r="21">
      <c r="A21" t="inlineStr">
        <is>
          <t>Total Weight</t>
        </is>
      </c>
      <c r="B21">
        <f>SUM(B7:B17)</f>
        <v/>
      </c>
    </row>
    <row r="22">
      <c r="A22" t="inlineStr">
        <is>
          <t>Expected Value</t>
        </is>
      </c>
      <c r="B22" s="5">
        <f>SUMPRODUCT(C7:C17,B7:B17)/B21</f>
        <v/>
      </c>
    </row>
    <row r="23">
      <c r="A23" t="inlineStr">
        <is>
          <t>RTP (vs Cost)</t>
        </is>
      </c>
      <c r="B23" s="8">
        <f>B22/100/$B$3</f>
        <v/>
      </c>
    </row>
    <row r="24">
      <c r="A24" t="inlineStr">
        <is>
          <t>RTP Check</t>
        </is>
      </c>
      <c r="B24" s="3">
        <f>IF(AND(B23&gt;=$D$3-$F$3, B23&lt;=$D$3+$F$3), "PASS", "FAIL")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297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106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67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46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35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25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25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35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46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67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106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297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29402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10501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6650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4550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3500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2450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2450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3500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4550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6650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10501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29402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384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96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48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29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11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8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11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29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48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96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384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38036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9509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4754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2853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1109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792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792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1109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2853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4754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9509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38036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490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57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21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6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21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57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490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48488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5657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2101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566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162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81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81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162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566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2101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5657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48488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541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26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26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541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buy100_expert_11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47569</v>
      </c>
      <c r="D7" s="7">
        <f>C7/$H$3</f>
        <v/>
      </c>
      <c r="E7" s="5">
        <f>IF($B$22&gt;0,B7/$B$22,0)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7535</v>
      </c>
      <c r="D8" s="7">
        <f>C8/$H$3</f>
        <v/>
      </c>
      <c r="E8" s="5">
        <f>IF($B$22&gt;0,B8/$B$22,0)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1884</v>
      </c>
      <c r="D9" s="7">
        <f>C9/$H$3</f>
        <v/>
      </c>
      <c r="E9" s="5">
        <f>IF($B$22&gt;0,B9/$B$22,0)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52</v>
      </c>
      <c r="D10" s="7">
        <f>C10/$H$3</f>
        <v/>
      </c>
      <c r="E10" s="5">
        <f>IF($B$22&gt;0,B10/$B$22,0)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9</v>
      </c>
      <c r="D11" s="7">
        <f>C11/$H$3</f>
        <v/>
      </c>
      <c r="E11" s="5">
        <f>IF($B$22&gt;0,B11/$B$22,0)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5</v>
      </c>
      <c r="D12" s="7">
        <f>C12/$H$3</f>
        <v/>
      </c>
      <c r="E12" s="5">
        <f>IF($B$22&gt;0,B12/$B$22,0)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IF($B$22&gt;0,B13/$B$22,0)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9</v>
      </c>
      <c r="D14" s="7">
        <f>C14/$H$3</f>
        <v/>
      </c>
      <c r="E14" s="5">
        <f>IF($B$22&gt;0,B14/$B$22,0)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52</v>
      </c>
      <c r="D15" s="7">
        <f>C15/$H$3</f>
        <v/>
      </c>
      <c r="E15" s="5">
        <f>IF($B$22&gt;0,B15/$B$22,0)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1884</v>
      </c>
      <c r="D16" s="7">
        <f>C16/$H$3</f>
        <v/>
      </c>
      <c r="E16" s="5">
        <f>IF($B$22&gt;0,B16/$B$22,0)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7535</v>
      </c>
      <c r="D17" s="7">
        <f>C17/$H$3</f>
        <v/>
      </c>
      <c r="E17" s="5">
        <f>IF($B$22&gt;0,B17/$B$22,0)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47569</v>
      </c>
      <c r="D18" s="7">
        <f>C18/$H$3</f>
        <v/>
      </c>
      <c r="E18" s="5">
        <f>IF($B$22&gt;0,B18/$B$22,0)</f>
        <v/>
      </c>
      <c r="F18" s="5">
        <f>D18*E18</f>
        <v/>
      </c>
      <c r="G18" s="5">
        <f>G17+E18</f>
        <v/>
      </c>
    </row>
    <row r="21">
      <c r="A21" s="3" t="inlineStr">
        <is>
          <t>Summary</t>
        </is>
      </c>
    </row>
    <row r="22">
      <c r="A22" t="inlineStr">
        <is>
          <t>Total Weight</t>
        </is>
      </c>
      <c r="B22">
        <f>SUM(B7:B18)</f>
        <v/>
      </c>
    </row>
    <row r="23">
      <c r="A23" t="inlineStr">
        <is>
          <t>Expected Value</t>
        </is>
      </c>
      <c r="B23" s="5">
        <f>SUMPRODUCT(C7:C18,B7:B18)/B22</f>
        <v/>
      </c>
    </row>
    <row r="24">
      <c r="A24" t="inlineStr">
        <is>
          <t>RTP (vs Cost)</t>
        </is>
      </c>
      <c r="B24" s="8">
        <f>B23/100/$B$3</f>
        <v/>
      </c>
    </row>
    <row r="25">
      <c r="A25" t="inlineStr">
        <is>
          <t>RTP Check</t>
        </is>
      </c>
      <c r="B25" s="3">
        <f>IF(AND(B24&gt;=$D$3-$F$3, B24&lt;=$D$3+$F$3), "PASS", "FAIL")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340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102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54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48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37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34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17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34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37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48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54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102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340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33683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10105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5389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4716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3705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3368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1684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3368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3705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4716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5389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10105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33683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397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132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48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24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13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13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48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132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397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39338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13113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4768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2384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1311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715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358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715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1311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2384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4768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13113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39338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517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73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25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25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73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517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51231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7233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2441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603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211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60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60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60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211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603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2441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7233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51231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588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27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27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588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buy100_expert_12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45500</v>
      </c>
      <c r="D7" s="7">
        <f>C7/$H$3</f>
        <v/>
      </c>
      <c r="E7" s="5">
        <f>IF($B$23&gt;0,B7/$B$23,0)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13513</v>
      </c>
      <c r="D8" s="7">
        <f>C8/$H$3</f>
        <v/>
      </c>
      <c r="E8" s="5">
        <f>IF($B$23&gt;0,B8/$B$23,0)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2703</v>
      </c>
      <c r="D9" s="7">
        <f>C9/$H$3</f>
        <v/>
      </c>
      <c r="E9" s="5">
        <f>IF($B$23&gt;0,B9/$B$23,0)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68</v>
      </c>
      <c r="D10" s="7">
        <f>C10/$H$3</f>
        <v/>
      </c>
      <c r="E10" s="5">
        <f>IF($B$23&gt;0,B10/$B$23,0)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18</v>
      </c>
      <c r="D11" s="7">
        <f>C11/$H$3</f>
        <v/>
      </c>
      <c r="E11" s="5">
        <f>IF($B$23&gt;0,B11/$B$23,0)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5</v>
      </c>
      <c r="D12" s="7">
        <f>C12/$H$3</f>
        <v/>
      </c>
      <c r="E12" s="5">
        <f>IF($B$23&gt;0,B12/$B$23,0)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IF($B$23&gt;0,B13/$B$23,0)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5</v>
      </c>
      <c r="D14" s="7">
        <f>C14/$H$3</f>
        <v/>
      </c>
      <c r="E14" s="5">
        <f>IF($B$23&gt;0,B14/$B$23,0)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18</v>
      </c>
      <c r="D15" s="7">
        <f>C15/$H$3</f>
        <v/>
      </c>
      <c r="E15" s="5">
        <f>IF($B$23&gt;0,B15/$B$23,0)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68</v>
      </c>
      <c r="D16" s="7">
        <f>C16/$H$3</f>
        <v/>
      </c>
      <c r="E16" s="5">
        <f>IF($B$23&gt;0,B16/$B$23,0)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2703</v>
      </c>
      <c r="D17" s="7">
        <f>C17/$H$3</f>
        <v/>
      </c>
      <c r="E17" s="5">
        <f>IF($B$23&gt;0,B17/$B$23,0)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13513</v>
      </c>
      <c r="D18" s="7">
        <f>C18/$H$3</f>
        <v/>
      </c>
      <c r="E18" s="5">
        <f>IF($B$23&gt;0,B18/$B$23,0)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45500</v>
      </c>
      <c r="D19" s="7">
        <f>C19/$H$3</f>
        <v/>
      </c>
      <c r="E19" s="5">
        <f>IF($B$23&gt;0,B19/$B$23,0)</f>
        <v/>
      </c>
      <c r="F19" s="5">
        <f>D19*E19</f>
        <v/>
      </c>
      <c r="G19" s="5">
        <f>G18+E19</f>
        <v/>
      </c>
    </row>
    <row r="22">
      <c r="A22" s="3" t="inlineStr">
        <is>
          <t>Summary</t>
        </is>
      </c>
    </row>
    <row r="23">
      <c r="A23" t="inlineStr">
        <is>
          <t>Total Weight</t>
        </is>
      </c>
      <c r="B23">
        <f>SUM(B7:B19)</f>
        <v/>
      </c>
    </row>
    <row r="24">
      <c r="A24" t="inlineStr">
        <is>
          <t>Expected Value</t>
        </is>
      </c>
      <c r="B24" s="5">
        <f>SUMPRODUCT(C7:C19,B7:B19)/B23</f>
        <v/>
      </c>
    </row>
    <row r="25">
      <c r="A25" t="inlineStr">
        <is>
          <t>RTP (vs Cost)</t>
        </is>
      </c>
      <c r="B25" s="8">
        <f>B24/100/$B$3</f>
        <v/>
      </c>
    </row>
    <row r="26">
      <c r="A26" t="inlineStr">
        <is>
          <t>RTP Check</t>
        </is>
      </c>
      <c r="B26" s="3">
        <f>IF(AND(B25&gt;=$D$3-$F$3, B25&lt;=$D$3+$F$3), "PASS", "FAIL")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275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136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102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65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41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31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24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24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31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41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65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102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136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275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27230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13447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10085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6387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4034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3026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2353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2353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3026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4034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6387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10085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13447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27230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429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130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60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30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13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7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13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30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60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130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429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42466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12838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5925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2963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1284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691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395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395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691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1284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2963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5925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12838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42466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558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79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24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9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9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24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79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558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55221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7858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2336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850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212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42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42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42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42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212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850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2336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7858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55221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631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31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31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631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buy100_expert_13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41150</v>
      </c>
      <c r="D7" s="7">
        <f>C7/$H$3</f>
        <v/>
      </c>
      <c r="E7" s="5">
        <f>IF($B$24&gt;0,B7/$B$24,0)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21184</v>
      </c>
      <c r="D8" s="7">
        <f>C8/$H$3</f>
        <v/>
      </c>
      <c r="E8" s="5">
        <f>IF($B$24&gt;0,B8/$B$24,0)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4074</v>
      </c>
      <c r="D9" s="7">
        <f>C9/$H$3</f>
        <v/>
      </c>
      <c r="E9" s="5">
        <f>IF($B$24&gt;0,B9/$B$24,0)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122</v>
      </c>
      <c r="D10" s="7">
        <f>C10/$H$3</f>
        <v/>
      </c>
      <c r="E10" s="5">
        <f>IF($B$24&gt;0,B10/$B$24,0)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24</v>
      </c>
      <c r="D11" s="7">
        <f>C11/$H$3</f>
        <v/>
      </c>
      <c r="E11" s="5">
        <f>IF($B$24&gt;0,B11/$B$24,0)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</v>
      </c>
      <c r="D12" s="7">
        <f>C12/$H$3</f>
        <v/>
      </c>
      <c r="E12" s="5">
        <f>IF($B$24&gt;0,B12/$B$24,0)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IF($B$24&gt;0,B13/$B$24,0)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</v>
      </c>
      <c r="D14" s="7">
        <f>C14/$H$3</f>
        <v/>
      </c>
      <c r="E14" s="5">
        <f>IF($B$24&gt;0,B14/$B$24,0)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IF($B$24&gt;0,B15/$B$24,0)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</v>
      </c>
      <c r="D16" s="7">
        <f>C16/$H$3</f>
        <v/>
      </c>
      <c r="E16" s="5">
        <f>IF($B$24&gt;0,B16/$B$24,0)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122</v>
      </c>
      <c r="D17" s="7">
        <f>C17/$H$3</f>
        <v/>
      </c>
      <c r="E17" s="5">
        <f>IF($B$24&gt;0,B17/$B$24,0)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4074</v>
      </c>
      <c r="D18" s="7">
        <f>C18/$H$3</f>
        <v/>
      </c>
      <c r="E18" s="5">
        <f>IF($B$24&gt;0,B18/$B$24,0)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21184</v>
      </c>
      <c r="D19" s="7">
        <f>C19/$H$3</f>
        <v/>
      </c>
      <c r="E19" s="5">
        <f>IF($B$24&gt;0,B19/$B$24,0)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41150</v>
      </c>
      <c r="D20" s="7">
        <f>C20/$H$3</f>
        <v/>
      </c>
      <c r="E20" s="5">
        <f>IF($B$24&gt;0,B20/$B$24,0)</f>
        <v/>
      </c>
      <c r="F20" s="5">
        <f>D20*E20</f>
        <v/>
      </c>
      <c r="G20" s="5">
        <f>G19+E20</f>
        <v/>
      </c>
    </row>
    <row r="23">
      <c r="A23" s="3" t="inlineStr">
        <is>
          <t>Summary</t>
        </is>
      </c>
    </row>
    <row r="24">
      <c r="A24" t="inlineStr">
        <is>
          <t>Total Weight</t>
        </is>
      </c>
      <c r="B24">
        <f>SUM(B7:B20)</f>
        <v/>
      </c>
    </row>
    <row r="25">
      <c r="A25" t="inlineStr">
        <is>
          <t>Expected Value</t>
        </is>
      </c>
      <c r="B25" s="5">
        <f>SUMPRODUCT(C7:C20,B7:B20)/B24</f>
        <v/>
      </c>
    </row>
    <row r="26">
      <c r="A26" t="inlineStr">
        <is>
          <t>RTP (vs Cost)</t>
        </is>
      </c>
      <c r="B26" s="8">
        <f>B25/100/$B$3</f>
        <v/>
      </c>
    </row>
    <row r="27">
      <c r="A27" t="inlineStr">
        <is>
          <t>RTP Check</t>
        </is>
      </c>
      <c r="B27" s="3">
        <f>IF(AND(B26&gt;=$D$3-$F$3, B26&lt;=$D$3+$F$3), "PASS", "FAIL")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283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160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76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56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52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44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40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20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40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44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52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56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76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160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283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28053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15804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7507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5532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5136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4346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3951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1976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3951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4346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5136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5532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7507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15804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28053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478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123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58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33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16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8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16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33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58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123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478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47273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12226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5705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3260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1549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815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408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163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408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815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1549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3260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5705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12226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47273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603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80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26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7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3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26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80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603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59727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7964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2560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711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270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43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28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28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28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43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270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711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2560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7964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59727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689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22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3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22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689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buy100_expert_14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36481</v>
      </c>
      <c r="D7" s="7">
        <f>C7/$H$3</f>
        <v/>
      </c>
      <c r="E7" s="5">
        <f>IF($B$25&gt;0,B7/$B$25,0)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28893</v>
      </c>
      <c r="D8" s="7">
        <f>C8/$H$3</f>
        <v/>
      </c>
      <c r="E8" s="5">
        <f>IF($B$25&gt;0,B8/$B$25,0)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5779</v>
      </c>
      <c r="D9" s="7">
        <f>C9/$H$3</f>
        <v/>
      </c>
      <c r="E9" s="5">
        <f>IF($B$25&gt;0,B9/$B$25,0)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108</v>
      </c>
      <c r="D10" s="7">
        <f>C10/$H$3</f>
        <v/>
      </c>
      <c r="E10" s="5">
        <f>IF($B$25&gt;0,B10/$B$25,0)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43</v>
      </c>
      <c r="D11" s="7">
        <f>C11/$H$3</f>
        <v/>
      </c>
      <c r="E11" s="5">
        <f>IF($B$25&gt;0,B11/$B$25,0)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IF($B$25&gt;0,B12/$B$25,0)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IF($B$25&gt;0,B13/$B$25,0)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</v>
      </c>
      <c r="D14" s="7">
        <f>C14/$H$3</f>
        <v/>
      </c>
      <c r="E14" s="5">
        <f>IF($B$25&gt;0,B14/$B$25,0)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IF($B$25&gt;0,B15/$B$25,0)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7</v>
      </c>
      <c r="D16" s="7">
        <f>C16/$H$3</f>
        <v/>
      </c>
      <c r="E16" s="5">
        <f>IF($B$25&gt;0,B16/$B$25,0)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43</v>
      </c>
      <c r="D17" s="7">
        <f>C17/$H$3</f>
        <v/>
      </c>
      <c r="E17" s="5">
        <f>IF($B$25&gt;0,B17/$B$25,0)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108</v>
      </c>
      <c r="D18" s="7">
        <f>C18/$H$3</f>
        <v/>
      </c>
      <c r="E18" s="5">
        <f>IF($B$25&gt;0,B18/$B$25,0)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5779</v>
      </c>
      <c r="D19" s="7">
        <f>C19/$H$3</f>
        <v/>
      </c>
      <c r="E19" s="5">
        <f>IF($B$25&gt;0,B19/$B$25,0)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28893</v>
      </c>
      <c r="D20" s="7">
        <f>C20/$H$3</f>
        <v/>
      </c>
      <c r="E20" s="5">
        <f>IF($B$25&gt;0,B20/$B$25,0)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36481</v>
      </c>
      <c r="D21" s="7">
        <f>C21/$H$3</f>
        <v/>
      </c>
      <c r="E21" s="5">
        <f>IF($B$25&gt;0,B21/$B$25,0)</f>
        <v/>
      </c>
      <c r="F21" s="5">
        <f>D21*E21</f>
        <v/>
      </c>
      <c r="G21" s="5">
        <f>G20+E21</f>
        <v/>
      </c>
    </row>
    <row r="24">
      <c r="A24" s="3" t="inlineStr">
        <is>
          <t>Summary</t>
        </is>
      </c>
    </row>
    <row r="25">
      <c r="A25" t="inlineStr">
        <is>
          <t>Total Weight</t>
        </is>
      </c>
      <c r="B25">
        <f>SUM(B7:B21)</f>
        <v/>
      </c>
    </row>
    <row r="26">
      <c r="A26" t="inlineStr">
        <is>
          <t>Expected Value</t>
        </is>
      </c>
      <c r="B26" s="5">
        <f>SUMPRODUCT(C7:C21,B7:B21)/B25</f>
        <v/>
      </c>
    </row>
    <row r="27">
      <c r="A27" t="inlineStr">
        <is>
          <t>RTP (vs Cost)</t>
        </is>
      </c>
      <c r="B27" s="8">
        <f>B26/100/$B$3</f>
        <v/>
      </c>
    </row>
    <row r="28">
      <c r="A28" t="inlineStr">
        <is>
          <t>RTP Check</t>
        </is>
      </c>
      <c r="B28" s="3">
        <f>IF(AND(B27&gt;=$D$3-$F$3, B27&lt;=$D$3+$F$3), "PASS", "FAIL")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357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190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71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48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36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26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24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17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17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26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36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48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71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190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357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35327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18841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7065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4710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3533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2591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2355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1649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1649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2355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2591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3533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4710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7065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18841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35327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532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109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67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30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18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8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8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18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30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67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109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532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52670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10773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6584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2993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1796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778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299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180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180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299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778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1796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2993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6584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10773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52670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642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86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28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8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8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28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86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642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63572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8511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2768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820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308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51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21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21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21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21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51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308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820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2768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8511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63572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743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17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17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743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buy100_expert_15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34024</v>
      </c>
      <c r="D7" s="7">
        <f>C7/$H$3</f>
        <v/>
      </c>
      <c r="E7" s="5">
        <f>IF($B$26&gt;0,B7/$B$26,0)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34024</v>
      </c>
      <c r="D8" s="7">
        <f>C8/$H$3</f>
        <v/>
      </c>
      <c r="E8" s="5">
        <f>IF($B$26&gt;0,B8/$B$26,0)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7747</v>
      </c>
      <c r="D9" s="7">
        <f>C9/$H$3</f>
        <v/>
      </c>
      <c r="E9" s="5">
        <f>IF($B$26&gt;0,B9/$B$26,0)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202</v>
      </c>
      <c r="D10" s="7">
        <f>C10/$H$3</f>
        <v/>
      </c>
      <c r="E10" s="5">
        <f>IF($B$26&gt;0,B10/$B$26,0)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61</v>
      </c>
      <c r="D11" s="7">
        <f>C11/$H$3</f>
        <v/>
      </c>
      <c r="E11" s="5">
        <f>IF($B$26&gt;0,B11/$B$26,0)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IF($B$26&gt;0,B12/$B$26,0)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3</v>
      </c>
      <c r="D13" s="7">
        <f>C13/$H$3</f>
        <v/>
      </c>
      <c r="E13" s="5">
        <f>IF($B$26&gt;0,B13/$B$26,0)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3</v>
      </c>
      <c r="D14" s="7">
        <f>C14/$H$3</f>
        <v/>
      </c>
      <c r="E14" s="5">
        <f>IF($B$26&gt;0,B14/$B$26,0)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3</v>
      </c>
      <c r="D15" s="7">
        <f>C15/$H$3</f>
        <v/>
      </c>
      <c r="E15" s="5">
        <f>IF($B$26&gt;0,B15/$B$26,0)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3</v>
      </c>
      <c r="D16" s="7">
        <f>C16/$H$3</f>
        <v/>
      </c>
      <c r="E16" s="5">
        <f>IF($B$26&gt;0,B16/$B$26,0)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7</v>
      </c>
      <c r="D17" s="7">
        <f>C17/$H$3</f>
        <v/>
      </c>
      <c r="E17" s="5">
        <f>IF($B$26&gt;0,B17/$B$26,0)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61</v>
      </c>
      <c r="D18" s="7">
        <f>C18/$H$3</f>
        <v/>
      </c>
      <c r="E18" s="5">
        <f>IF($B$26&gt;0,B18/$B$26,0)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202</v>
      </c>
      <c r="D19" s="7">
        <f>C19/$H$3</f>
        <v/>
      </c>
      <c r="E19" s="5">
        <f>IF($B$26&gt;0,B19/$B$26,0)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7747</v>
      </c>
      <c r="D20" s="7">
        <f>C20/$H$3</f>
        <v/>
      </c>
      <c r="E20" s="5">
        <f>IF($B$26&gt;0,B20/$B$26,0)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34024</v>
      </c>
      <c r="D21" s="7">
        <f>C21/$H$3</f>
        <v/>
      </c>
      <c r="E21" s="5">
        <f>IF($B$26&gt;0,B21/$B$26,0)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34024</v>
      </c>
      <c r="D22" s="7">
        <f>C22/$H$3</f>
        <v/>
      </c>
      <c r="E22" s="5">
        <f>IF($B$26&gt;0,B22/$B$26,0)</f>
        <v/>
      </c>
      <c r="F22" s="5">
        <f>D22*E22</f>
        <v/>
      </c>
      <c r="G22" s="5">
        <f>G21+E22</f>
        <v/>
      </c>
    </row>
    <row r="25">
      <c r="A25" s="3" t="inlineStr">
        <is>
          <t>Summary</t>
        </is>
      </c>
    </row>
    <row r="26">
      <c r="A26" t="inlineStr">
        <is>
          <t>Total Weight</t>
        </is>
      </c>
      <c r="B26">
        <f>SUM(B7:B22)</f>
        <v/>
      </c>
    </row>
    <row r="27">
      <c r="A27" t="inlineStr">
        <is>
          <t>Expected Value</t>
        </is>
      </c>
      <c r="B27" s="5">
        <f>SUMPRODUCT(C7:C22,B7:B22)/B26</f>
        <v/>
      </c>
    </row>
    <row r="28">
      <c r="A28" t="inlineStr">
        <is>
          <t>RTP (vs Cost)</t>
        </is>
      </c>
      <c r="B28" s="8">
        <f>B27/100/$B$3</f>
        <v/>
      </c>
    </row>
    <row r="29">
      <c r="A29" t="inlineStr">
        <is>
          <t>RTP Check</t>
        </is>
      </c>
      <c r="B29" s="3">
        <f>IF(AND(B28&gt;=$D$3-$F$3, B28&lt;=$D$3+$F$3), "PASS", "FAIL")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normal_low_16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392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220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49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34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34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29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27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24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12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27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29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34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34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49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220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392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buy100_low_16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38777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21812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4847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3393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3393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2908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2666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2424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1212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2424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2666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2908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3393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3393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4847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21812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38777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normal_medium_16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522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194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47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24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14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5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5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14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24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47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194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522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buy100_medium_16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51646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19250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4695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2348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1409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704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470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235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141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235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470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704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1409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2348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4695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19250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51646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normal_high_16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696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90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17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5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5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17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90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696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buy100_high_16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68994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8969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1794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621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276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138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14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14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14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14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14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138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276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621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1794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8969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68994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normal_expert_16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1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794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15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1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1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1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1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1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1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1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1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1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1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1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1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1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15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794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buy100_expert_16 Lookup Detail</t>
        </is>
      </c>
    </row>
    <row r="2">
      <c r="A2" s="2" t="inlineStr">
        <is>
          <t>Derived from lookup rows</t>
        </is>
      </c>
    </row>
    <row r="3">
      <c r="A3" s="3" t="inlineStr">
        <is>
          <t>Cost</t>
        </is>
      </c>
      <c r="B3" s="4" t="n">
        <v>99</v>
      </c>
      <c r="C3" s="3" t="inlineStr">
        <is>
          <t>Target RTP</t>
        </is>
      </c>
      <c r="D3" s="5" t="n">
        <v>0.9605</v>
      </c>
      <c r="E3" s="3" t="inlineStr">
        <is>
          <t>RTP Tol</t>
        </is>
      </c>
      <c r="F3" s="5" t="n">
        <v>0.01</v>
      </c>
      <c r="G3" s="3" t="inlineStr">
        <is>
          <t>Payout Scale</t>
        </is>
      </c>
      <c r="H3" s="4" t="n">
        <v>100</v>
      </c>
    </row>
    <row r="4"/>
    <row r="5">
      <c r="A5" s="3" t="inlineStr">
        <is>
          <t>Rows</t>
        </is>
      </c>
    </row>
    <row r="6">
      <c r="A6" s="6" t="inlineStr">
        <is>
          <t>sim_id</t>
        </is>
      </c>
      <c r="B6" s="6" t="inlineStr">
        <is>
          <t>weight</t>
        </is>
      </c>
      <c r="C6" s="6" t="inlineStr">
        <is>
          <t>payout_raw</t>
        </is>
      </c>
      <c r="D6" s="6" t="inlineStr">
        <is>
          <t>payout_scaled</t>
        </is>
      </c>
      <c r="E6" s="6" t="inlineStr">
        <is>
          <t>probability</t>
        </is>
      </c>
      <c r="F6" s="6" t="inlineStr">
        <is>
          <t>weighted_payout</t>
        </is>
      </c>
      <c r="G6" s="6" t="inlineStr">
        <is>
          <t>cumulative_probability</t>
        </is>
      </c>
    </row>
    <row r="7">
      <c r="A7" t="n">
        <v>0</v>
      </c>
      <c r="B7" t="n">
        <v>1000</v>
      </c>
      <c r="C7" t="n">
        <v>35635</v>
      </c>
      <c r="D7" s="7">
        <f>C7/$H$3</f>
        <v/>
      </c>
      <c r="E7" s="5">
        <f>IF($B$27&gt;0,B7/$B$27,0)</f>
        <v/>
      </c>
      <c r="F7" s="5">
        <f>D7*E7</f>
        <v/>
      </c>
      <c r="G7" s="5">
        <f>E7</f>
        <v/>
      </c>
    </row>
    <row r="8">
      <c r="A8" t="n">
        <v>1</v>
      </c>
      <c r="B8" t="n">
        <v>1000</v>
      </c>
      <c r="C8" t="n">
        <v>35635</v>
      </c>
      <c r="D8" s="7">
        <f>C8/$H$3</f>
        <v/>
      </c>
      <c r="E8" s="5">
        <f>IF($B$27&gt;0,B8/$B$27,0)</f>
        <v/>
      </c>
      <c r="F8" s="5">
        <f>D8*E8</f>
        <v/>
      </c>
      <c r="G8" s="5">
        <f>G7+E8</f>
        <v/>
      </c>
    </row>
    <row r="9">
      <c r="A9" t="n">
        <v>2</v>
      </c>
      <c r="B9" t="n">
        <v>1000</v>
      </c>
      <c r="C9" t="n">
        <v>9173</v>
      </c>
      <c r="D9" s="7">
        <f>C9/$H$3</f>
        <v/>
      </c>
      <c r="E9" s="5">
        <f>IF($B$27&gt;0,B9/$B$27,0)</f>
        <v/>
      </c>
      <c r="F9" s="5">
        <f>D9*E9</f>
        <v/>
      </c>
      <c r="G9" s="5">
        <f>G8+E9</f>
        <v/>
      </c>
    </row>
    <row r="10">
      <c r="A10" t="n">
        <v>3</v>
      </c>
      <c r="B10" t="n">
        <v>1000</v>
      </c>
      <c r="C10" t="n">
        <v>247</v>
      </c>
      <c r="D10" s="7">
        <f>C10/$H$3</f>
        <v/>
      </c>
      <c r="E10" s="5">
        <f>IF($B$27&gt;0,B10/$B$27,0)</f>
        <v/>
      </c>
      <c r="F10" s="5">
        <f>D10*E10</f>
        <v/>
      </c>
      <c r="G10" s="5">
        <f>G9+E10</f>
        <v/>
      </c>
    </row>
    <row r="11">
      <c r="A11" t="n">
        <v>4</v>
      </c>
      <c r="B11" t="n">
        <v>1000</v>
      </c>
      <c r="C11" t="n">
        <v>88</v>
      </c>
      <c r="D11" s="7">
        <f>C11/$H$3</f>
        <v/>
      </c>
      <c r="E11" s="5">
        <f>IF($B$27&gt;0,B11/$B$27,0)</f>
        <v/>
      </c>
      <c r="F11" s="5">
        <f>D11*E11</f>
        <v/>
      </c>
      <c r="G11" s="5">
        <f>G10+E11</f>
        <v/>
      </c>
    </row>
    <row r="12">
      <c r="A12" t="n">
        <v>5</v>
      </c>
      <c r="B12" t="n">
        <v>1000</v>
      </c>
      <c r="C12" t="n">
        <v>39</v>
      </c>
      <c r="D12" s="7">
        <f>C12/$H$3</f>
        <v/>
      </c>
      <c r="E12" s="5">
        <f>IF($B$27&gt;0,B12/$B$27,0)</f>
        <v/>
      </c>
      <c r="F12" s="5">
        <f>D12*E12</f>
        <v/>
      </c>
      <c r="G12" s="5">
        <f>G11+E12</f>
        <v/>
      </c>
    </row>
    <row r="13">
      <c r="A13" t="n">
        <v>6</v>
      </c>
      <c r="B13" t="n">
        <v>1000</v>
      </c>
      <c r="C13" t="n">
        <v>4</v>
      </c>
      <c r="D13" s="7">
        <f>C13/$H$3</f>
        <v/>
      </c>
      <c r="E13" s="5">
        <f>IF($B$27&gt;0,B13/$B$27,0)</f>
        <v/>
      </c>
      <c r="F13" s="5">
        <f>D13*E13</f>
        <v/>
      </c>
      <c r="G13" s="5">
        <f>G12+E13</f>
        <v/>
      </c>
    </row>
    <row r="14">
      <c r="A14" t="n">
        <v>7</v>
      </c>
      <c r="B14" t="n">
        <v>1000</v>
      </c>
      <c r="C14" t="n">
        <v>4</v>
      </c>
      <c r="D14" s="7">
        <f>C14/$H$3</f>
        <v/>
      </c>
      <c r="E14" s="5">
        <f>IF($B$27&gt;0,B14/$B$27,0)</f>
        <v/>
      </c>
      <c r="F14" s="5">
        <f>D14*E14</f>
        <v/>
      </c>
      <c r="G14" s="5">
        <f>G13+E14</f>
        <v/>
      </c>
    </row>
    <row r="15">
      <c r="A15" t="n">
        <v>8</v>
      </c>
      <c r="B15" t="n">
        <v>1000</v>
      </c>
      <c r="C15" t="n">
        <v>4</v>
      </c>
      <c r="D15" s="7">
        <f>C15/$H$3</f>
        <v/>
      </c>
      <c r="E15" s="5">
        <f>IF($B$27&gt;0,B15/$B$27,0)</f>
        <v/>
      </c>
      <c r="F15" s="5">
        <f>D15*E15</f>
        <v/>
      </c>
      <c r="G15" s="5">
        <f>G14+E15</f>
        <v/>
      </c>
    </row>
    <row r="16">
      <c r="A16" t="n">
        <v>9</v>
      </c>
      <c r="B16" t="n">
        <v>1000</v>
      </c>
      <c r="C16" t="n">
        <v>4</v>
      </c>
      <c r="D16" s="7">
        <f>C16/$H$3</f>
        <v/>
      </c>
      <c r="E16" s="5">
        <f>IF($B$27&gt;0,B16/$B$27,0)</f>
        <v/>
      </c>
      <c r="F16" s="5">
        <f>D16*E16</f>
        <v/>
      </c>
      <c r="G16" s="5">
        <f>G15+E16</f>
        <v/>
      </c>
    </row>
    <row r="17">
      <c r="A17" t="n">
        <v>10</v>
      </c>
      <c r="B17" t="n">
        <v>1000</v>
      </c>
      <c r="C17" t="n">
        <v>4</v>
      </c>
      <c r="D17" s="7">
        <f>C17/$H$3</f>
        <v/>
      </c>
      <c r="E17" s="5">
        <f>IF($B$27&gt;0,B17/$B$27,0)</f>
        <v/>
      </c>
      <c r="F17" s="5">
        <f>D17*E17</f>
        <v/>
      </c>
      <c r="G17" s="5">
        <f>G16+E17</f>
        <v/>
      </c>
    </row>
    <row r="18">
      <c r="A18" t="n">
        <v>11</v>
      </c>
      <c r="B18" t="n">
        <v>1000</v>
      </c>
      <c r="C18" t="n">
        <v>39</v>
      </c>
      <c r="D18" s="7">
        <f>C18/$H$3</f>
        <v/>
      </c>
      <c r="E18" s="5">
        <f>IF($B$27&gt;0,B18/$B$27,0)</f>
        <v/>
      </c>
      <c r="F18" s="5">
        <f>D18*E18</f>
        <v/>
      </c>
      <c r="G18" s="5">
        <f>G17+E18</f>
        <v/>
      </c>
    </row>
    <row r="19">
      <c r="A19" t="n">
        <v>12</v>
      </c>
      <c r="B19" t="n">
        <v>1000</v>
      </c>
      <c r="C19" t="n">
        <v>88</v>
      </c>
      <c r="D19" s="7">
        <f>C19/$H$3</f>
        <v/>
      </c>
      <c r="E19" s="5">
        <f>IF($B$27&gt;0,B19/$B$27,0)</f>
        <v/>
      </c>
      <c r="F19" s="5">
        <f>D19*E19</f>
        <v/>
      </c>
      <c r="G19" s="5">
        <f>G18+E19</f>
        <v/>
      </c>
    </row>
    <row r="20">
      <c r="A20" t="n">
        <v>13</v>
      </c>
      <c r="B20" t="n">
        <v>1000</v>
      </c>
      <c r="C20" t="n">
        <v>247</v>
      </c>
      <c r="D20" s="7">
        <f>C20/$H$3</f>
        <v/>
      </c>
      <c r="E20" s="5">
        <f>IF($B$27&gt;0,B20/$B$27,0)</f>
        <v/>
      </c>
      <c r="F20" s="5">
        <f>D20*E20</f>
        <v/>
      </c>
      <c r="G20" s="5">
        <f>G19+E20</f>
        <v/>
      </c>
    </row>
    <row r="21">
      <c r="A21" t="n">
        <v>14</v>
      </c>
      <c r="B21" t="n">
        <v>1000</v>
      </c>
      <c r="C21" t="n">
        <v>9173</v>
      </c>
      <c r="D21" s="7">
        <f>C21/$H$3</f>
        <v/>
      </c>
      <c r="E21" s="5">
        <f>IF($B$27&gt;0,B21/$B$27,0)</f>
        <v/>
      </c>
      <c r="F21" s="5">
        <f>D21*E21</f>
        <v/>
      </c>
      <c r="G21" s="5">
        <f>G20+E21</f>
        <v/>
      </c>
    </row>
    <row r="22">
      <c r="A22" t="n">
        <v>15</v>
      </c>
      <c r="B22" t="n">
        <v>1000</v>
      </c>
      <c r="C22" t="n">
        <v>35635</v>
      </c>
      <c r="D22" s="7">
        <f>C22/$H$3</f>
        <v/>
      </c>
      <c r="E22" s="5">
        <f>IF($B$27&gt;0,B22/$B$27,0)</f>
        <v/>
      </c>
      <c r="F22" s="5">
        <f>D22*E22</f>
        <v/>
      </c>
      <c r="G22" s="5">
        <f>G21+E22</f>
        <v/>
      </c>
    </row>
    <row r="23">
      <c r="A23" t="n">
        <v>16</v>
      </c>
      <c r="B23" t="n">
        <v>1000</v>
      </c>
      <c r="C23" t="n">
        <v>35635</v>
      </c>
      <c r="D23" s="7">
        <f>C23/$H$3</f>
        <v/>
      </c>
      <c r="E23" s="5">
        <f>IF($B$27&gt;0,B23/$B$27,0)</f>
        <v/>
      </c>
      <c r="F23" s="5">
        <f>D23*E23</f>
        <v/>
      </c>
      <c r="G23" s="5">
        <f>G22+E23</f>
        <v/>
      </c>
    </row>
    <row r="26">
      <c r="A26" s="3" t="inlineStr">
        <is>
          <t>Summary</t>
        </is>
      </c>
    </row>
    <row r="27">
      <c r="A27" t="inlineStr">
        <is>
          <t>Total Weight</t>
        </is>
      </c>
      <c r="B27">
        <f>SUM(B7:B23)</f>
        <v/>
      </c>
    </row>
    <row r="28">
      <c r="A28" t="inlineStr">
        <is>
          <t>Expected Value</t>
        </is>
      </c>
      <c r="B28" s="5">
        <f>SUMPRODUCT(C7:C23,B7:B23)/B27</f>
        <v/>
      </c>
    </row>
    <row r="29">
      <c r="A29" t="inlineStr">
        <is>
          <t>RTP (vs Cost)</t>
        </is>
      </c>
      <c r="B29" s="8">
        <f>B28/100/$B$3</f>
        <v/>
      </c>
    </row>
    <row r="30">
      <c r="A30" t="inlineStr">
        <is>
          <t>RTP Check</t>
        </is>
      </c>
      <c r="B30" s="3">
        <f>IF(AND(B29&gt;=$D$3-$F$3, B29&lt;=$D$3+$F$3), "PASS", 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2026-06-22T13:30:30Z</dcterms:created>
  <dcterms:modified xmlns:dcterms="http://purl.org/dc/terms/" xmlns:xsi="http://www.w3.org/2001/XMLSchema-instance" xsi:type="dcterms:W3CDTF">2026-06-22T13:30:30Z</dcterms:modified>
</cp:coreProperties>
</file>